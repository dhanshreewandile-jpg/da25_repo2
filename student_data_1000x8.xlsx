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 analytics\"/>
    </mc:Choice>
  </mc:AlternateContent>
  <xr:revisionPtr revIDLastSave="0" documentId="13_ncr:1_{572C5BC8-0438-4A00-BCF7-3774A661EF34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ext function" sheetId="1" r:id="rId1"/>
    <sheet name="conditional opration" sheetId="2" r:id="rId2"/>
    <sheet name="logical operators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5" i="3" l="1"/>
  <c r="N34" i="3"/>
  <c r="N33" i="3"/>
  <c r="L33" i="3"/>
  <c r="L35" i="3"/>
  <c r="L34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9" i="3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0" i="2"/>
  <c r="S10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9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9" i="2"/>
  <c r="K88" i="1"/>
  <c r="K89" i="1"/>
  <c r="K90" i="1"/>
  <c r="K91" i="1"/>
  <c r="K92" i="1"/>
  <c r="K93" i="1"/>
  <c r="K94" i="1"/>
  <c r="K95" i="1"/>
  <c r="K96" i="1"/>
  <c r="K97" i="1"/>
  <c r="K98" i="1"/>
  <c r="K87" i="1"/>
  <c r="K74" i="1"/>
  <c r="K75" i="1"/>
  <c r="K76" i="1"/>
  <c r="K77" i="1"/>
  <c r="K78" i="1"/>
  <c r="K79" i="1"/>
  <c r="K80" i="1"/>
  <c r="K81" i="1"/>
  <c r="K82" i="1"/>
  <c r="K83" i="1"/>
  <c r="K84" i="1"/>
  <c r="K73" i="1"/>
  <c r="J68" i="1"/>
  <c r="M70" i="1"/>
  <c r="J65" i="1"/>
  <c r="J63" i="1"/>
  <c r="J61" i="1"/>
  <c r="J58" i="1"/>
  <c r="J55" i="1"/>
  <c r="J52" i="1"/>
  <c r="J50" i="1"/>
  <c r="J46" i="1"/>
  <c r="J44" i="1"/>
  <c r="M38" i="1"/>
  <c r="M36" i="1"/>
  <c r="M34" i="1"/>
  <c r="J42" i="1"/>
  <c r="J41" i="1"/>
  <c r="J38" i="1"/>
  <c r="J36" i="1"/>
  <c r="J34" i="1"/>
  <c r="J31" i="1"/>
  <c r="J27" i="1"/>
  <c r="J23" i="1"/>
  <c r="J15" i="1"/>
  <c r="J9" i="1"/>
</calcChain>
</file>

<file path=xl/sharedStrings.xml><?xml version="1.0" encoding="utf-8"?>
<sst xmlns="http://schemas.openxmlformats.org/spreadsheetml/2006/main" count="18123" uniqueCount="1198">
  <si>
    <t>Student Name</t>
  </si>
  <si>
    <t>Roll No</t>
  </si>
  <si>
    <t>Institute</t>
  </si>
  <si>
    <t>Address</t>
  </si>
  <si>
    <t>Percentage</t>
  </si>
  <si>
    <t>Pin Code</t>
  </si>
  <si>
    <t>Nationality</t>
  </si>
  <si>
    <t>Result</t>
  </si>
  <si>
    <t>Rohan Singh</t>
  </si>
  <si>
    <t>Rohan Sharma</t>
  </si>
  <si>
    <t>Vivaan Reddy</t>
  </si>
  <si>
    <t>Sai Singh</t>
  </si>
  <si>
    <t>Vivaan Mehta</t>
  </si>
  <si>
    <t>Aarav Sharma</t>
  </si>
  <si>
    <t>Vivaan Nair</t>
  </si>
  <si>
    <t>Arjun Nair</t>
  </si>
  <si>
    <t>Rohan Joshi</t>
  </si>
  <si>
    <t>Aditya Singh</t>
  </si>
  <si>
    <t>Ishaan Singh</t>
  </si>
  <si>
    <t>Ishaan Joshi</t>
  </si>
  <si>
    <t>Krishna Singh</t>
  </si>
  <si>
    <t>Krishna Patel</t>
  </si>
  <si>
    <t>Arjun Singh</t>
  </si>
  <si>
    <t>Karan Singh</t>
  </si>
  <si>
    <t>Karan Mehta</t>
  </si>
  <si>
    <t>Vihaan Joshi</t>
  </si>
  <si>
    <t>Aditya Reddy</t>
  </si>
  <si>
    <t>Karan Joshi</t>
  </si>
  <si>
    <t>Aarav Reddy</t>
  </si>
  <si>
    <t>Ishaan Patel</t>
  </si>
  <si>
    <t>Vihaan Reddy</t>
  </si>
  <si>
    <t>Vivaan Das</t>
  </si>
  <si>
    <t>Vihaan Sharma</t>
  </si>
  <si>
    <t>Sai Mehta</t>
  </si>
  <si>
    <t>Rohan Kumar</t>
  </si>
  <si>
    <t>Karan Das</t>
  </si>
  <si>
    <t>Rohan Das</t>
  </si>
  <si>
    <t>Aarav Singh</t>
  </si>
  <si>
    <t>Rohan Mehta</t>
  </si>
  <si>
    <t>Aditya Mehta</t>
  </si>
  <si>
    <t>Sai Sharma</t>
  </si>
  <si>
    <t>Aarav Joshi</t>
  </si>
  <si>
    <t>Vivaan Sharma</t>
  </si>
  <si>
    <t>Ishaan Nair</t>
  </si>
  <si>
    <t>Arjun Das</t>
  </si>
  <si>
    <t>Aditya Nair</t>
  </si>
  <si>
    <t>Arjun Reddy</t>
  </si>
  <si>
    <t>Sai Nair</t>
  </si>
  <si>
    <t>Aditya Sharma</t>
  </si>
  <si>
    <t>Karan Sharma</t>
  </si>
  <si>
    <t>Sai Kumar</t>
  </si>
  <si>
    <t>Sai Gupta</t>
  </si>
  <si>
    <t>Aditya Gupta</t>
  </si>
  <si>
    <t>Krishna Joshi</t>
  </si>
  <si>
    <t>Krishna Reddy</t>
  </si>
  <si>
    <t>Sai Joshi</t>
  </si>
  <si>
    <t>Karan Gupta</t>
  </si>
  <si>
    <t>Krishna Mehta</t>
  </si>
  <si>
    <t>Karan Kumar</t>
  </si>
  <si>
    <t>Krishna Kumar</t>
  </si>
  <si>
    <t>Aarav Patel</t>
  </si>
  <si>
    <t>Aarav Das</t>
  </si>
  <si>
    <t>Krishna Das</t>
  </si>
  <si>
    <t>Vihaan Patel</t>
  </si>
  <si>
    <t>Aarav Mehta</t>
  </si>
  <si>
    <t>Ishaan Sharma</t>
  </si>
  <si>
    <t>Krishna Sharma</t>
  </si>
  <si>
    <t>Vivaan Joshi</t>
  </si>
  <si>
    <t>Vivaan Kumar</t>
  </si>
  <si>
    <t>Aditya Das</t>
  </si>
  <si>
    <t>Aditya Patel</t>
  </si>
  <si>
    <t>Ishaan Reddy</t>
  </si>
  <si>
    <t>Vihaan Singh</t>
  </si>
  <si>
    <t>Karan Reddy</t>
  </si>
  <si>
    <t>Arjun Joshi</t>
  </si>
  <si>
    <t>Aditya Joshi</t>
  </si>
  <si>
    <t>Arjun Gupta</t>
  </si>
  <si>
    <t>Ishaan Mehta</t>
  </si>
  <si>
    <t>Aditya Kumar</t>
  </si>
  <si>
    <t>Sai Patel</t>
  </si>
  <si>
    <t>Rohan Nair</t>
  </si>
  <si>
    <t>Sai Reddy</t>
  </si>
  <si>
    <t>Aarav Gupta</t>
  </si>
  <si>
    <t>Vihaan Kumar</t>
  </si>
  <si>
    <t>Vihaan Mehta</t>
  </si>
  <si>
    <t>Arjun Sharma</t>
  </si>
  <si>
    <t>Karan Patel</t>
  </si>
  <si>
    <t>Sai Das</t>
  </si>
  <si>
    <t>Ishaan Das</t>
  </si>
  <si>
    <t>Arjun Mehta</t>
  </si>
  <si>
    <t>Aarav Kumar</t>
  </si>
  <si>
    <t>Karan Nair</t>
  </si>
  <si>
    <t>Vivaan Singh</t>
  </si>
  <si>
    <t>Krishna Nair</t>
  </si>
  <si>
    <t>Rohan Gupta</t>
  </si>
  <si>
    <t>Vihaan Das</t>
  </si>
  <si>
    <t>Arjun Kumar</t>
  </si>
  <si>
    <t>Aarav Nair</t>
  </si>
  <si>
    <t>Ishaan Gupta</t>
  </si>
  <si>
    <t>Vihaan Nair</t>
  </si>
  <si>
    <t>Rohan Reddy</t>
  </si>
  <si>
    <t>Vivaan Patel</t>
  </si>
  <si>
    <t>Vivaan Gupta</t>
  </si>
  <si>
    <t>Vihaan Gupta</t>
  </si>
  <si>
    <t>Krishna Gupta</t>
  </si>
  <si>
    <t>Rohan Patel</t>
  </si>
  <si>
    <t>Arjun Patel</t>
  </si>
  <si>
    <t>Ishaan Kumar</t>
  </si>
  <si>
    <t>R1000</t>
  </si>
  <si>
    <t>R1001</t>
  </si>
  <si>
    <t>R1002</t>
  </si>
  <si>
    <t>R1003</t>
  </si>
  <si>
    <t>R1004</t>
  </si>
  <si>
    <t>R1005</t>
  </si>
  <si>
    <t>R1006</t>
  </si>
  <si>
    <t>R1007</t>
  </si>
  <si>
    <t>R1008</t>
  </si>
  <si>
    <t>R1009</t>
  </si>
  <si>
    <t>R1010</t>
  </si>
  <si>
    <t>R1011</t>
  </si>
  <si>
    <t>R1012</t>
  </si>
  <si>
    <t>R1013</t>
  </si>
  <si>
    <t>R1014</t>
  </si>
  <si>
    <t>R1015</t>
  </si>
  <si>
    <t>R1016</t>
  </si>
  <si>
    <t>R1017</t>
  </si>
  <si>
    <t>R1018</t>
  </si>
  <si>
    <t>R1019</t>
  </si>
  <si>
    <t>R1020</t>
  </si>
  <si>
    <t>R1021</t>
  </si>
  <si>
    <t>R1022</t>
  </si>
  <si>
    <t>R1023</t>
  </si>
  <si>
    <t>R1024</t>
  </si>
  <si>
    <t>R1025</t>
  </si>
  <si>
    <t>R1026</t>
  </si>
  <si>
    <t>R1027</t>
  </si>
  <si>
    <t>R1028</t>
  </si>
  <si>
    <t>R1029</t>
  </si>
  <si>
    <t>R1030</t>
  </si>
  <si>
    <t>R1031</t>
  </si>
  <si>
    <t>R1032</t>
  </si>
  <si>
    <t>R1033</t>
  </si>
  <si>
    <t>R1034</t>
  </si>
  <si>
    <t>R1035</t>
  </si>
  <si>
    <t>R1036</t>
  </si>
  <si>
    <t>R1037</t>
  </si>
  <si>
    <t>R1038</t>
  </si>
  <si>
    <t>R1039</t>
  </si>
  <si>
    <t>R1040</t>
  </si>
  <si>
    <t>R1041</t>
  </si>
  <si>
    <t>R1042</t>
  </si>
  <si>
    <t>R1043</t>
  </si>
  <si>
    <t>R1044</t>
  </si>
  <si>
    <t>R1045</t>
  </si>
  <si>
    <t>R1046</t>
  </si>
  <si>
    <t>R1047</t>
  </si>
  <si>
    <t>R1048</t>
  </si>
  <si>
    <t>R1049</t>
  </si>
  <si>
    <t>R1050</t>
  </si>
  <si>
    <t>R1051</t>
  </si>
  <si>
    <t>R1052</t>
  </si>
  <si>
    <t>R1053</t>
  </si>
  <si>
    <t>R1054</t>
  </si>
  <si>
    <t>R1055</t>
  </si>
  <si>
    <t>R1056</t>
  </si>
  <si>
    <t>R1057</t>
  </si>
  <si>
    <t>R1058</t>
  </si>
  <si>
    <t>R1059</t>
  </si>
  <si>
    <t>R1060</t>
  </si>
  <si>
    <t>R1061</t>
  </si>
  <si>
    <t>R1062</t>
  </si>
  <si>
    <t>R1063</t>
  </si>
  <si>
    <t>R1064</t>
  </si>
  <si>
    <t>R1065</t>
  </si>
  <si>
    <t>R1066</t>
  </si>
  <si>
    <t>R1067</t>
  </si>
  <si>
    <t>R1068</t>
  </si>
  <si>
    <t>R1069</t>
  </si>
  <si>
    <t>R1070</t>
  </si>
  <si>
    <t>R1071</t>
  </si>
  <si>
    <t>R1072</t>
  </si>
  <si>
    <t>R1073</t>
  </si>
  <si>
    <t>R1074</t>
  </si>
  <si>
    <t>R1075</t>
  </si>
  <si>
    <t>R1076</t>
  </si>
  <si>
    <t>R1077</t>
  </si>
  <si>
    <t>R1078</t>
  </si>
  <si>
    <t>R1079</t>
  </si>
  <si>
    <t>R1080</t>
  </si>
  <si>
    <t>R1081</t>
  </si>
  <si>
    <t>R1082</t>
  </si>
  <si>
    <t>R1083</t>
  </si>
  <si>
    <t>R1084</t>
  </si>
  <si>
    <t>R1085</t>
  </si>
  <si>
    <t>R1086</t>
  </si>
  <si>
    <t>R1087</t>
  </si>
  <si>
    <t>R1088</t>
  </si>
  <si>
    <t>R1089</t>
  </si>
  <si>
    <t>R1090</t>
  </si>
  <si>
    <t>R1091</t>
  </si>
  <si>
    <t>R1092</t>
  </si>
  <si>
    <t>R1093</t>
  </si>
  <si>
    <t>R1094</t>
  </si>
  <si>
    <t>R1095</t>
  </si>
  <si>
    <t>R1096</t>
  </si>
  <si>
    <t>R1097</t>
  </si>
  <si>
    <t>R1098</t>
  </si>
  <si>
    <t>R1099</t>
  </si>
  <si>
    <t>R1100</t>
  </si>
  <si>
    <t>R1101</t>
  </si>
  <si>
    <t>R1102</t>
  </si>
  <si>
    <t>R1103</t>
  </si>
  <si>
    <t>R1104</t>
  </si>
  <si>
    <t>R1105</t>
  </si>
  <si>
    <t>R1106</t>
  </si>
  <si>
    <t>R1107</t>
  </si>
  <si>
    <t>R1108</t>
  </si>
  <si>
    <t>R1109</t>
  </si>
  <si>
    <t>R1110</t>
  </si>
  <si>
    <t>R1111</t>
  </si>
  <si>
    <t>R1112</t>
  </si>
  <si>
    <t>R1113</t>
  </si>
  <si>
    <t>R1114</t>
  </si>
  <si>
    <t>R1115</t>
  </si>
  <si>
    <t>R1116</t>
  </si>
  <si>
    <t>R1117</t>
  </si>
  <si>
    <t>R1118</t>
  </si>
  <si>
    <t>R1119</t>
  </si>
  <si>
    <t>R1120</t>
  </si>
  <si>
    <t>R1121</t>
  </si>
  <si>
    <t>R1122</t>
  </si>
  <si>
    <t>R1123</t>
  </si>
  <si>
    <t>R1124</t>
  </si>
  <si>
    <t>R1125</t>
  </si>
  <si>
    <t>R1126</t>
  </si>
  <si>
    <t>R1127</t>
  </si>
  <si>
    <t>R1128</t>
  </si>
  <si>
    <t>R1129</t>
  </si>
  <si>
    <t>R1130</t>
  </si>
  <si>
    <t>R1131</t>
  </si>
  <si>
    <t>R1132</t>
  </si>
  <si>
    <t>R1133</t>
  </si>
  <si>
    <t>R1134</t>
  </si>
  <si>
    <t>R1135</t>
  </si>
  <si>
    <t>R1136</t>
  </si>
  <si>
    <t>R1137</t>
  </si>
  <si>
    <t>R1138</t>
  </si>
  <si>
    <t>R1139</t>
  </si>
  <si>
    <t>R1140</t>
  </si>
  <si>
    <t>R1141</t>
  </si>
  <si>
    <t>R1142</t>
  </si>
  <si>
    <t>R1143</t>
  </si>
  <si>
    <t>R1144</t>
  </si>
  <si>
    <t>R1145</t>
  </si>
  <si>
    <t>R1146</t>
  </si>
  <si>
    <t>R1147</t>
  </si>
  <si>
    <t>R1148</t>
  </si>
  <si>
    <t>R1149</t>
  </si>
  <si>
    <t>R1150</t>
  </si>
  <si>
    <t>R1151</t>
  </si>
  <si>
    <t>R1152</t>
  </si>
  <si>
    <t>R1153</t>
  </si>
  <si>
    <t>R1154</t>
  </si>
  <si>
    <t>R1155</t>
  </si>
  <si>
    <t>R1156</t>
  </si>
  <si>
    <t>R1157</t>
  </si>
  <si>
    <t>R1158</t>
  </si>
  <si>
    <t>R1159</t>
  </si>
  <si>
    <t>R1160</t>
  </si>
  <si>
    <t>R1161</t>
  </si>
  <si>
    <t>R1162</t>
  </si>
  <si>
    <t>R1163</t>
  </si>
  <si>
    <t>R1164</t>
  </si>
  <si>
    <t>R1165</t>
  </si>
  <si>
    <t>R1166</t>
  </si>
  <si>
    <t>R1167</t>
  </si>
  <si>
    <t>R1168</t>
  </si>
  <si>
    <t>R1169</t>
  </si>
  <si>
    <t>R1170</t>
  </si>
  <si>
    <t>R1171</t>
  </si>
  <si>
    <t>R1172</t>
  </si>
  <si>
    <t>R1173</t>
  </si>
  <si>
    <t>R1174</t>
  </si>
  <si>
    <t>R1175</t>
  </si>
  <si>
    <t>R1176</t>
  </si>
  <si>
    <t>R1177</t>
  </si>
  <si>
    <t>R1178</t>
  </si>
  <si>
    <t>R1179</t>
  </si>
  <si>
    <t>R1180</t>
  </si>
  <si>
    <t>R1181</t>
  </si>
  <si>
    <t>R1182</t>
  </si>
  <si>
    <t>R1183</t>
  </si>
  <si>
    <t>R1184</t>
  </si>
  <si>
    <t>R1185</t>
  </si>
  <si>
    <t>R1186</t>
  </si>
  <si>
    <t>R1187</t>
  </si>
  <si>
    <t>R1188</t>
  </si>
  <si>
    <t>R1189</t>
  </si>
  <si>
    <t>R1190</t>
  </si>
  <si>
    <t>R1191</t>
  </si>
  <si>
    <t>R1192</t>
  </si>
  <si>
    <t>R1193</t>
  </si>
  <si>
    <t>R1194</t>
  </si>
  <si>
    <t>R1195</t>
  </si>
  <si>
    <t>R1196</t>
  </si>
  <si>
    <t>R1197</t>
  </si>
  <si>
    <t>R1198</t>
  </si>
  <si>
    <t>R1199</t>
  </si>
  <si>
    <t>R1200</t>
  </si>
  <si>
    <t>R1201</t>
  </si>
  <si>
    <t>R1202</t>
  </si>
  <si>
    <t>R1203</t>
  </si>
  <si>
    <t>R1204</t>
  </si>
  <si>
    <t>R1205</t>
  </si>
  <si>
    <t>R1206</t>
  </si>
  <si>
    <t>R1207</t>
  </si>
  <si>
    <t>R1208</t>
  </si>
  <si>
    <t>R1209</t>
  </si>
  <si>
    <t>R1210</t>
  </si>
  <si>
    <t>R1211</t>
  </si>
  <si>
    <t>R1212</t>
  </si>
  <si>
    <t>R1213</t>
  </si>
  <si>
    <t>R1214</t>
  </si>
  <si>
    <t>R1215</t>
  </si>
  <si>
    <t>R1216</t>
  </si>
  <si>
    <t>R1217</t>
  </si>
  <si>
    <t>R1218</t>
  </si>
  <si>
    <t>R1219</t>
  </si>
  <si>
    <t>R1220</t>
  </si>
  <si>
    <t>R1221</t>
  </si>
  <si>
    <t>R1222</t>
  </si>
  <si>
    <t>R1223</t>
  </si>
  <si>
    <t>R1224</t>
  </si>
  <si>
    <t>R1225</t>
  </si>
  <si>
    <t>R1226</t>
  </si>
  <si>
    <t>R1227</t>
  </si>
  <si>
    <t>R1228</t>
  </si>
  <si>
    <t>R1229</t>
  </si>
  <si>
    <t>R1230</t>
  </si>
  <si>
    <t>R1231</t>
  </si>
  <si>
    <t>R1232</t>
  </si>
  <si>
    <t>R1233</t>
  </si>
  <si>
    <t>R1234</t>
  </si>
  <si>
    <t>R1235</t>
  </si>
  <si>
    <t>R1236</t>
  </si>
  <si>
    <t>R1237</t>
  </si>
  <si>
    <t>R1238</t>
  </si>
  <si>
    <t>R1239</t>
  </si>
  <si>
    <t>R1240</t>
  </si>
  <si>
    <t>R1241</t>
  </si>
  <si>
    <t>R1242</t>
  </si>
  <si>
    <t>R1243</t>
  </si>
  <si>
    <t>R1244</t>
  </si>
  <si>
    <t>R1245</t>
  </si>
  <si>
    <t>R1246</t>
  </si>
  <si>
    <t>R1247</t>
  </si>
  <si>
    <t>R1248</t>
  </si>
  <si>
    <t>R1249</t>
  </si>
  <si>
    <t>R1250</t>
  </si>
  <si>
    <t>R1251</t>
  </si>
  <si>
    <t>R1252</t>
  </si>
  <si>
    <t>R1253</t>
  </si>
  <si>
    <t>R1254</t>
  </si>
  <si>
    <t>R1255</t>
  </si>
  <si>
    <t>R1256</t>
  </si>
  <si>
    <t>R1257</t>
  </si>
  <si>
    <t>R1258</t>
  </si>
  <si>
    <t>R1259</t>
  </si>
  <si>
    <t>R1260</t>
  </si>
  <si>
    <t>R1261</t>
  </si>
  <si>
    <t>R1262</t>
  </si>
  <si>
    <t>R1263</t>
  </si>
  <si>
    <t>R1264</t>
  </si>
  <si>
    <t>R1265</t>
  </si>
  <si>
    <t>R1266</t>
  </si>
  <si>
    <t>R1267</t>
  </si>
  <si>
    <t>R1268</t>
  </si>
  <si>
    <t>R1269</t>
  </si>
  <si>
    <t>R1270</t>
  </si>
  <si>
    <t>R1271</t>
  </si>
  <si>
    <t>R1272</t>
  </si>
  <si>
    <t>R1273</t>
  </si>
  <si>
    <t>R1274</t>
  </si>
  <si>
    <t>R1275</t>
  </si>
  <si>
    <t>R1276</t>
  </si>
  <si>
    <t>R1277</t>
  </si>
  <si>
    <t>R1278</t>
  </si>
  <si>
    <t>R1279</t>
  </si>
  <si>
    <t>R1280</t>
  </si>
  <si>
    <t>R1281</t>
  </si>
  <si>
    <t>R1282</t>
  </si>
  <si>
    <t>R1283</t>
  </si>
  <si>
    <t>R1284</t>
  </si>
  <si>
    <t>R1285</t>
  </si>
  <si>
    <t>R1286</t>
  </si>
  <si>
    <t>R1287</t>
  </si>
  <si>
    <t>R1288</t>
  </si>
  <si>
    <t>R1289</t>
  </si>
  <si>
    <t>R1290</t>
  </si>
  <si>
    <t>R1291</t>
  </si>
  <si>
    <t>R1292</t>
  </si>
  <si>
    <t>R1293</t>
  </si>
  <si>
    <t>R1294</t>
  </si>
  <si>
    <t>R1295</t>
  </si>
  <si>
    <t>R1296</t>
  </si>
  <si>
    <t>R1297</t>
  </si>
  <si>
    <t>R1298</t>
  </si>
  <si>
    <t>R1299</t>
  </si>
  <si>
    <t>R1300</t>
  </si>
  <si>
    <t>R1301</t>
  </si>
  <si>
    <t>R1302</t>
  </si>
  <si>
    <t>R1303</t>
  </si>
  <si>
    <t>R1304</t>
  </si>
  <si>
    <t>R1305</t>
  </si>
  <si>
    <t>R1306</t>
  </si>
  <si>
    <t>R1307</t>
  </si>
  <si>
    <t>R1308</t>
  </si>
  <si>
    <t>R1309</t>
  </si>
  <si>
    <t>R1310</t>
  </si>
  <si>
    <t>R1311</t>
  </si>
  <si>
    <t>R1312</t>
  </si>
  <si>
    <t>R1313</t>
  </si>
  <si>
    <t>R1314</t>
  </si>
  <si>
    <t>R1315</t>
  </si>
  <si>
    <t>R1316</t>
  </si>
  <si>
    <t>R1317</t>
  </si>
  <si>
    <t>R1318</t>
  </si>
  <si>
    <t>R1319</t>
  </si>
  <si>
    <t>R1320</t>
  </si>
  <si>
    <t>R1321</t>
  </si>
  <si>
    <t>R1322</t>
  </si>
  <si>
    <t>R1323</t>
  </si>
  <si>
    <t>R1324</t>
  </si>
  <si>
    <t>R1325</t>
  </si>
  <si>
    <t>R1326</t>
  </si>
  <si>
    <t>R1327</t>
  </si>
  <si>
    <t>R1328</t>
  </si>
  <si>
    <t>R1329</t>
  </si>
  <si>
    <t>R1330</t>
  </si>
  <si>
    <t>R1331</t>
  </si>
  <si>
    <t>R1332</t>
  </si>
  <si>
    <t>R1333</t>
  </si>
  <si>
    <t>R1334</t>
  </si>
  <si>
    <t>R1335</t>
  </si>
  <si>
    <t>R1336</t>
  </si>
  <si>
    <t>R1337</t>
  </si>
  <si>
    <t>R1338</t>
  </si>
  <si>
    <t>R1339</t>
  </si>
  <si>
    <t>R1340</t>
  </si>
  <si>
    <t>R1341</t>
  </si>
  <si>
    <t>R1342</t>
  </si>
  <si>
    <t>R1343</t>
  </si>
  <si>
    <t>R1344</t>
  </si>
  <si>
    <t>R1345</t>
  </si>
  <si>
    <t>R1346</t>
  </si>
  <si>
    <t>R1347</t>
  </si>
  <si>
    <t>R1348</t>
  </si>
  <si>
    <t>R1349</t>
  </si>
  <si>
    <t>R1350</t>
  </si>
  <si>
    <t>R1351</t>
  </si>
  <si>
    <t>R1352</t>
  </si>
  <si>
    <t>R1353</t>
  </si>
  <si>
    <t>R1354</t>
  </si>
  <si>
    <t>R1355</t>
  </si>
  <si>
    <t>R1356</t>
  </si>
  <si>
    <t>R1357</t>
  </si>
  <si>
    <t>R1358</t>
  </si>
  <si>
    <t>R1359</t>
  </si>
  <si>
    <t>R1360</t>
  </si>
  <si>
    <t>R1361</t>
  </si>
  <si>
    <t>R1362</t>
  </si>
  <si>
    <t>R1363</t>
  </si>
  <si>
    <t>R1364</t>
  </si>
  <si>
    <t>R1365</t>
  </si>
  <si>
    <t>R1366</t>
  </si>
  <si>
    <t>R1367</t>
  </si>
  <si>
    <t>R1368</t>
  </si>
  <si>
    <t>R1369</t>
  </si>
  <si>
    <t>R1370</t>
  </si>
  <si>
    <t>R1371</t>
  </si>
  <si>
    <t>R1372</t>
  </si>
  <si>
    <t>R1373</t>
  </si>
  <si>
    <t>R1374</t>
  </si>
  <si>
    <t>R1375</t>
  </si>
  <si>
    <t>R1376</t>
  </si>
  <si>
    <t>R1377</t>
  </si>
  <si>
    <t>R1378</t>
  </si>
  <si>
    <t>R1379</t>
  </si>
  <si>
    <t>R1380</t>
  </si>
  <si>
    <t>R1381</t>
  </si>
  <si>
    <t>R1382</t>
  </si>
  <si>
    <t>R1383</t>
  </si>
  <si>
    <t>R1384</t>
  </si>
  <si>
    <t>R1385</t>
  </si>
  <si>
    <t>R1386</t>
  </si>
  <si>
    <t>R1387</t>
  </si>
  <si>
    <t>R1388</t>
  </si>
  <si>
    <t>R1389</t>
  </si>
  <si>
    <t>R1390</t>
  </si>
  <si>
    <t>R1391</t>
  </si>
  <si>
    <t>R1392</t>
  </si>
  <si>
    <t>R1393</t>
  </si>
  <si>
    <t>R1394</t>
  </si>
  <si>
    <t>R1395</t>
  </si>
  <si>
    <t>R1396</t>
  </si>
  <si>
    <t>R1397</t>
  </si>
  <si>
    <t>R1398</t>
  </si>
  <si>
    <t>R1399</t>
  </si>
  <si>
    <t>R1400</t>
  </si>
  <si>
    <t>R1401</t>
  </si>
  <si>
    <t>R1402</t>
  </si>
  <si>
    <t>R1403</t>
  </si>
  <si>
    <t>R1404</t>
  </si>
  <si>
    <t>R1405</t>
  </si>
  <si>
    <t>R1406</t>
  </si>
  <si>
    <t>R1407</t>
  </si>
  <si>
    <t>R1408</t>
  </si>
  <si>
    <t>R1409</t>
  </si>
  <si>
    <t>R1410</t>
  </si>
  <si>
    <t>R1411</t>
  </si>
  <si>
    <t>R1412</t>
  </si>
  <si>
    <t>R1413</t>
  </si>
  <si>
    <t>R1414</t>
  </si>
  <si>
    <t>R1415</t>
  </si>
  <si>
    <t>R1416</t>
  </si>
  <si>
    <t>R1417</t>
  </si>
  <si>
    <t>R1418</t>
  </si>
  <si>
    <t>R1419</t>
  </si>
  <si>
    <t>R1420</t>
  </si>
  <si>
    <t>R1421</t>
  </si>
  <si>
    <t>R1422</t>
  </si>
  <si>
    <t>R1423</t>
  </si>
  <si>
    <t>R1424</t>
  </si>
  <si>
    <t>R1425</t>
  </si>
  <si>
    <t>R1426</t>
  </si>
  <si>
    <t>R1427</t>
  </si>
  <si>
    <t>R1428</t>
  </si>
  <si>
    <t>R1429</t>
  </si>
  <si>
    <t>R1430</t>
  </si>
  <si>
    <t>R1431</t>
  </si>
  <si>
    <t>R1432</t>
  </si>
  <si>
    <t>R1433</t>
  </si>
  <si>
    <t>R1434</t>
  </si>
  <si>
    <t>R1435</t>
  </si>
  <si>
    <t>R1436</t>
  </si>
  <si>
    <t>R1437</t>
  </si>
  <si>
    <t>R1438</t>
  </si>
  <si>
    <t>R1439</t>
  </si>
  <si>
    <t>R1440</t>
  </si>
  <si>
    <t>R1441</t>
  </si>
  <si>
    <t>R1442</t>
  </si>
  <si>
    <t>R1443</t>
  </si>
  <si>
    <t>R1444</t>
  </si>
  <si>
    <t>R1445</t>
  </si>
  <si>
    <t>R1446</t>
  </si>
  <si>
    <t>R1447</t>
  </si>
  <si>
    <t>R1448</t>
  </si>
  <si>
    <t>R1449</t>
  </si>
  <si>
    <t>R1450</t>
  </si>
  <si>
    <t>R1451</t>
  </si>
  <si>
    <t>R1452</t>
  </si>
  <si>
    <t>R1453</t>
  </si>
  <si>
    <t>R1454</t>
  </si>
  <si>
    <t>R1455</t>
  </si>
  <si>
    <t>R1456</t>
  </si>
  <si>
    <t>R1457</t>
  </si>
  <si>
    <t>R1458</t>
  </si>
  <si>
    <t>R1459</t>
  </si>
  <si>
    <t>R1460</t>
  </si>
  <si>
    <t>R1461</t>
  </si>
  <si>
    <t>R1462</t>
  </si>
  <si>
    <t>R1463</t>
  </si>
  <si>
    <t>R1464</t>
  </si>
  <si>
    <t>R1465</t>
  </si>
  <si>
    <t>R1466</t>
  </si>
  <si>
    <t>R1467</t>
  </si>
  <si>
    <t>R1468</t>
  </si>
  <si>
    <t>R1469</t>
  </si>
  <si>
    <t>R1470</t>
  </si>
  <si>
    <t>R1471</t>
  </si>
  <si>
    <t>R1472</t>
  </si>
  <si>
    <t>R1473</t>
  </si>
  <si>
    <t>R1474</t>
  </si>
  <si>
    <t>R1475</t>
  </si>
  <si>
    <t>R1476</t>
  </si>
  <si>
    <t>R1477</t>
  </si>
  <si>
    <t>R1478</t>
  </si>
  <si>
    <t>R1479</t>
  </si>
  <si>
    <t>R1480</t>
  </si>
  <si>
    <t>R1481</t>
  </si>
  <si>
    <t>R1482</t>
  </si>
  <si>
    <t>R1483</t>
  </si>
  <si>
    <t>R1484</t>
  </si>
  <si>
    <t>R1485</t>
  </si>
  <si>
    <t>R1486</t>
  </si>
  <si>
    <t>R1487</t>
  </si>
  <si>
    <t>R1488</t>
  </si>
  <si>
    <t>R1489</t>
  </si>
  <si>
    <t>R1490</t>
  </si>
  <si>
    <t>R1491</t>
  </si>
  <si>
    <t>R1492</t>
  </si>
  <si>
    <t>R1493</t>
  </si>
  <si>
    <t>R1494</t>
  </si>
  <si>
    <t>R1495</t>
  </si>
  <si>
    <t>R1496</t>
  </si>
  <si>
    <t>R1497</t>
  </si>
  <si>
    <t>R1498</t>
  </si>
  <si>
    <t>R1499</t>
  </si>
  <si>
    <t>R1500</t>
  </si>
  <si>
    <t>R1501</t>
  </si>
  <si>
    <t>R1502</t>
  </si>
  <si>
    <t>R1503</t>
  </si>
  <si>
    <t>R1504</t>
  </si>
  <si>
    <t>R1505</t>
  </si>
  <si>
    <t>R1506</t>
  </si>
  <si>
    <t>R1507</t>
  </si>
  <si>
    <t>R1508</t>
  </si>
  <si>
    <t>R1509</t>
  </si>
  <si>
    <t>R1510</t>
  </si>
  <si>
    <t>R1511</t>
  </si>
  <si>
    <t>R1512</t>
  </si>
  <si>
    <t>R1513</t>
  </si>
  <si>
    <t>R1514</t>
  </si>
  <si>
    <t>R1515</t>
  </si>
  <si>
    <t>R1516</t>
  </si>
  <si>
    <t>R1517</t>
  </si>
  <si>
    <t>R1518</t>
  </si>
  <si>
    <t>R1519</t>
  </si>
  <si>
    <t>R1520</t>
  </si>
  <si>
    <t>R1521</t>
  </si>
  <si>
    <t>R1522</t>
  </si>
  <si>
    <t>R1523</t>
  </si>
  <si>
    <t>R1524</t>
  </si>
  <si>
    <t>R1525</t>
  </si>
  <si>
    <t>R1526</t>
  </si>
  <si>
    <t>R1527</t>
  </si>
  <si>
    <t>R1528</t>
  </si>
  <si>
    <t>R1529</t>
  </si>
  <si>
    <t>R1530</t>
  </si>
  <si>
    <t>R1531</t>
  </si>
  <si>
    <t>R1532</t>
  </si>
  <si>
    <t>R1533</t>
  </si>
  <si>
    <t>R1534</t>
  </si>
  <si>
    <t>R1535</t>
  </si>
  <si>
    <t>R1536</t>
  </si>
  <si>
    <t>R1537</t>
  </si>
  <si>
    <t>R1538</t>
  </si>
  <si>
    <t>R1539</t>
  </si>
  <si>
    <t>R1540</t>
  </si>
  <si>
    <t>R1541</t>
  </si>
  <si>
    <t>R1542</t>
  </si>
  <si>
    <t>R1543</t>
  </si>
  <si>
    <t>R1544</t>
  </si>
  <si>
    <t>R1545</t>
  </si>
  <si>
    <t>R1546</t>
  </si>
  <si>
    <t>R1547</t>
  </si>
  <si>
    <t>R1548</t>
  </si>
  <si>
    <t>R1549</t>
  </si>
  <si>
    <t>R1550</t>
  </si>
  <si>
    <t>R1551</t>
  </si>
  <si>
    <t>R1552</t>
  </si>
  <si>
    <t>R1553</t>
  </si>
  <si>
    <t>R1554</t>
  </si>
  <si>
    <t>R1555</t>
  </si>
  <si>
    <t>R1556</t>
  </si>
  <si>
    <t>R1557</t>
  </si>
  <si>
    <t>R1558</t>
  </si>
  <si>
    <t>R1559</t>
  </si>
  <si>
    <t>R1560</t>
  </si>
  <si>
    <t>R1561</t>
  </si>
  <si>
    <t>R1562</t>
  </si>
  <si>
    <t>R1563</t>
  </si>
  <si>
    <t>R1564</t>
  </si>
  <si>
    <t>R1565</t>
  </si>
  <si>
    <t>R1566</t>
  </si>
  <si>
    <t>R1567</t>
  </si>
  <si>
    <t>R1568</t>
  </si>
  <si>
    <t>R1569</t>
  </si>
  <si>
    <t>R1570</t>
  </si>
  <si>
    <t>R1571</t>
  </si>
  <si>
    <t>R1572</t>
  </si>
  <si>
    <t>R1573</t>
  </si>
  <si>
    <t>R1574</t>
  </si>
  <si>
    <t>R1575</t>
  </si>
  <si>
    <t>R1576</t>
  </si>
  <si>
    <t>R1577</t>
  </si>
  <si>
    <t>R1578</t>
  </si>
  <si>
    <t>R1579</t>
  </si>
  <si>
    <t>R1580</t>
  </si>
  <si>
    <t>R1581</t>
  </si>
  <si>
    <t>R1582</t>
  </si>
  <si>
    <t>R1583</t>
  </si>
  <si>
    <t>R1584</t>
  </si>
  <si>
    <t>R1585</t>
  </si>
  <si>
    <t>R1586</t>
  </si>
  <si>
    <t>R1587</t>
  </si>
  <si>
    <t>R1588</t>
  </si>
  <si>
    <t>R1589</t>
  </si>
  <si>
    <t>R1590</t>
  </si>
  <si>
    <t>R1591</t>
  </si>
  <si>
    <t>R1592</t>
  </si>
  <si>
    <t>R1593</t>
  </si>
  <si>
    <t>R1594</t>
  </si>
  <si>
    <t>R1595</t>
  </si>
  <si>
    <t>R1596</t>
  </si>
  <si>
    <t>R1597</t>
  </si>
  <si>
    <t>R1598</t>
  </si>
  <si>
    <t>R1599</t>
  </si>
  <si>
    <t>R1600</t>
  </si>
  <si>
    <t>R1601</t>
  </si>
  <si>
    <t>R1602</t>
  </si>
  <si>
    <t>R1603</t>
  </si>
  <si>
    <t>R1604</t>
  </si>
  <si>
    <t>R1605</t>
  </si>
  <si>
    <t>R1606</t>
  </si>
  <si>
    <t>R1607</t>
  </si>
  <si>
    <t>R1608</t>
  </si>
  <si>
    <t>R1609</t>
  </si>
  <si>
    <t>R1610</t>
  </si>
  <si>
    <t>R1611</t>
  </si>
  <si>
    <t>R1612</t>
  </si>
  <si>
    <t>R1613</t>
  </si>
  <si>
    <t>R1614</t>
  </si>
  <si>
    <t>R1615</t>
  </si>
  <si>
    <t>R1616</t>
  </si>
  <si>
    <t>R1617</t>
  </si>
  <si>
    <t>R1618</t>
  </si>
  <si>
    <t>R1619</t>
  </si>
  <si>
    <t>R1620</t>
  </si>
  <si>
    <t>R1621</t>
  </si>
  <si>
    <t>R1622</t>
  </si>
  <si>
    <t>R1623</t>
  </si>
  <si>
    <t>R1624</t>
  </si>
  <si>
    <t>R1625</t>
  </si>
  <si>
    <t>R1626</t>
  </si>
  <si>
    <t>R1627</t>
  </si>
  <si>
    <t>R1628</t>
  </si>
  <si>
    <t>R1629</t>
  </si>
  <si>
    <t>R1630</t>
  </si>
  <si>
    <t>R1631</t>
  </si>
  <si>
    <t>R1632</t>
  </si>
  <si>
    <t>R1633</t>
  </si>
  <si>
    <t>R1634</t>
  </si>
  <si>
    <t>R1635</t>
  </si>
  <si>
    <t>R1636</t>
  </si>
  <si>
    <t>R1637</t>
  </si>
  <si>
    <t>R1638</t>
  </si>
  <si>
    <t>R1639</t>
  </si>
  <si>
    <t>R1640</t>
  </si>
  <si>
    <t>R1641</t>
  </si>
  <si>
    <t>R1642</t>
  </si>
  <si>
    <t>R1643</t>
  </si>
  <si>
    <t>R1644</t>
  </si>
  <si>
    <t>R1645</t>
  </si>
  <si>
    <t>R1646</t>
  </si>
  <si>
    <t>R1647</t>
  </si>
  <si>
    <t>R1648</t>
  </si>
  <si>
    <t>R1649</t>
  </si>
  <si>
    <t>R1650</t>
  </si>
  <si>
    <t>R1651</t>
  </si>
  <si>
    <t>R1652</t>
  </si>
  <si>
    <t>R1653</t>
  </si>
  <si>
    <t>R1654</t>
  </si>
  <si>
    <t>R1655</t>
  </si>
  <si>
    <t>R1656</t>
  </si>
  <si>
    <t>R1657</t>
  </si>
  <si>
    <t>R1658</t>
  </si>
  <si>
    <t>R1659</t>
  </si>
  <si>
    <t>R1660</t>
  </si>
  <si>
    <t>R1661</t>
  </si>
  <si>
    <t>R1662</t>
  </si>
  <si>
    <t>R1663</t>
  </si>
  <si>
    <t>R1664</t>
  </si>
  <si>
    <t>R1665</t>
  </si>
  <si>
    <t>R1666</t>
  </si>
  <si>
    <t>R1667</t>
  </si>
  <si>
    <t>R1668</t>
  </si>
  <si>
    <t>R1669</t>
  </si>
  <si>
    <t>R1670</t>
  </si>
  <si>
    <t>R1671</t>
  </si>
  <si>
    <t>R1672</t>
  </si>
  <si>
    <t>R1673</t>
  </si>
  <si>
    <t>R1674</t>
  </si>
  <si>
    <t>R1675</t>
  </si>
  <si>
    <t>R1676</t>
  </si>
  <si>
    <t>R1677</t>
  </si>
  <si>
    <t>R1678</t>
  </si>
  <si>
    <t>R1679</t>
  </si>
  <si>
    <t>R1680</t>
  </si>
  <si>
    <t>R1681</t>
  </si>
  <si>
    <t>R1682</t>
  </si>
  <si>
    <t>R1683</t>
  </si>
  <si>
    <t>R1684</t>
  </si>
  <si>
    <t>R1685</t>
  </si>
  <si>
    <t>R1686</t>
  </si>
  <si>
    <t>R1687</t>
  </si>
  <si>
    <t>R1688</t>
  </si>
  <si>
    <t>R1689</t>
  </si>
  <si>
    <t>R1690</t>
  </si>
  <si>
    <t>R1691</t>
  </si>
  <si>
    <t>R1692</t>
  </si>
  <si>
    <t>R1693</t>
  </si>
  <si>
    <t>R1694</t>
  </si>
  <si>
    <t>R1695</t>
  </si>
  <si>
    <t>R1696</t>
  </si>
  <si>
    <t>R1697</t>
  </si>
  <si>
    <t>R1698</t>
  </si>
  <si>
    <t>R1699</t>
  </si>
  <si>
    <t>R1700</t>
  </si>
  <si>
    <t>R1701</t>
  </si>
  <si>
    <t>R1702</t>
  </si>
  <si>
    <t>R1703</t>
  </si>
  <si>
    <t>R1704</t>
  </si>
  <si>
    <t>R1705</t>
  </si>
  <si>
    <t>R1706</t>
  </si>
  <si>
    <t>R1707</t>
  </si>
  <si>
    <t>R1708</t>
  </si>
  <si>
    <t>R1709</t>
  </si>
  <si>
    <t>R1710</t>
  </si>
  <si>
    <t>R1711</t>
  </si>
  <si>
    <t>R1712</t>
  </si>
  <si>
    <t>R1713</t>
  </si>
  <si>
    <t>R1714</t>
  </si>
  <si>
    <t>R1715</t>
  </si>
  <si>
    <t>R1716</t>
  </si>
  <si>
    <t>R1717</t>
  </si>
  <si>
    <t>R1718</t>
  </si>
  <si>
    <t>R1719</t>
  </si>
  <si>
    <t>R1720</t>
  </si>
  <si>
    <t>R1721</t>
  </si>
  <si>
    <t>R1722</t>
  </si>
  <si>
    <t>R1723</t>
  </si>
  <si>
    <t>R1724</t>
  </si>
  <si>
    <t>R1725</t>
  </si>
  <si>
    <t>R1726</t>
  </si>
  <si>
    <t>R1727</t>
  </si>
  <si>
    <t>R1728</t>
  </si>
  <si>
    <t>R1729</t>
  </si>
  <si>
    <t>R1730</t>
  </si>
  <si>
    <t>R1731</t>
  </si>
  <si>
    <t>R1732</t>
  </si>
  <si>
    <t>R1733</t>
  </si>
  <si>
    <t>R1734</t>
  </si>
  <si>
    <t>R1735</t>
  </si>
  <si>
    <t>R1736</t>
  </si>
  <si>
    <t>R1737</t>
  </si>
  <si>
    <t>R1738</t>
  </si>
  <si>
    <t>R1739</t>
  </si>
  <si>
    <t>R1740</t>
  </si>
  <si>
    <t>R1741</t>
  </si>
  <si>
    <t>R1742</t>
  </si>
  <si>
    <t>R1743</t>
  </si>
  <si>
    <t>R1744</t>
  </si>
  <si>
    <t>R1745</t>
  </si>
  <si>
    <t>R1746</t>
  </si>
  <si>
    <t>R1747</t>
  </si>
  <si>
    <t>R1748</t>
  </si>
  <si>
    <t>R1749</t>
  </si>
  <si>
    <t>R1750</t>
  </si>
  <si>
    <t>R1751</t>
  </si>
  <si>
    <t>R1752</t>
  </si>
  <si>
    <t>R1753</t>
  </si>
  <si>
    <t>R1754</t>
  </si>
  <si>
    <t>R1755</t>
  </si>
  <si>
    <t>R1756</t>
  </si>
  <si>
    <t>R1757</t>
  </si>
  <si>
    <t>R1758</t>
  </si>
  <si>
    <t>R1759</t>
  </si>
  <si>
    <t>R1760</t>
  </si>
  <si>
    <t>R1761</t>
  </si>
  <si>
    <t>R1762</t>
  </si>
  <si>
    <t>R1763</t>
  </si>
  <si>
    <t>R1764</t>
  </si>
  <si>
    <t>R1765</t>
  </si>
  <si>
    <t>R1766</t>
  </si>
  <si>
    <t>R1767</t>
  </si>
  <si>
    <t>R1768</t>
  </si>
  <si>
    <t>R1769</t>
  </si>
  <si>
    <t>R1770</t>
  </si>
  <si>
    <t>R1771</t>
  </si>
  <si>
    <t>R1772</t>
  </si>
  <si>
    <t>R1773</t>
  </si>
  <si>
    <t>R1774</t>
  </si>
  <si>
    <t>R1775</t>
  </si>
  <si>
    <t>R1776</t>
  </si>
  <si>
    <t>R1777</t>
  </si>
  <si>
    <t>R1778</t>
  </si>
  <si>
    <t>R1779</t>
  </si>
  <si>
    <t>R1780</t>
  </si>
  <si>
    <t>R1781</t>
  </si>
  <si>
    <t>R1782</t>
  </si>
  <si>
    <t>R1783</t>
  </si>
  <si>
    <t>R1784</t>
  </si>
  <si>
    <t>R1785</t>
  </si>
  <si>
    <t>R1786</t>
  </si>
  <si>
    <t>R1787</t>
  </si>
  <si>
    <t>R1788</t>
  </si>
  <si>
    <t>R1789</t>
  </si>
  <si>
    <t>R1790</t>
  </si>
  <si>
    <t>R1791</t>
  </si>
  <si>
    <t>R1792</t>
  </si>
  <si>
    <t>R1793</t>
  </si>
  <si>
    <t>R1794</t>
  </si>
  <si>
    <t>R1795</t>
  </si>
  <si>
    <t>R1796</t>
  </si>
  <si>
    <t>R1797</t>
  </si>
  <si>
    <t>R1798</t>
  </si>
  <si>
    <t>R1799</t>
  </si>
  <si>
    <t>R1800</t>
  </si>
  <si>
    <t>R1801</t>
  </si>
  <si>
    <t>R1802</t>
  </si>
  <si>
    <t>R1803</t>
  </si>
  <si>
    <t>R1804</t>
  </si>
  <si>
    <t>R1805</t>
  </si>
  <si>
    <t>R1806</t>
  </si>
  <si>
    <t>R1807</t>
  </si>
  <si>
    <t>R1808</t>
  </si>
  <si>
    <t>R1809</t>
  </si>
  <si>
    <t>R1810</t>
  </si>
  <si>
    <t>R1811</t>
  </si>
  <si>
    <t>R1812</t>
  </si>
  <si>
    <t>R1813</t>
  </si>
  <si>
    <t>R1814</t>
  </si>
  <si>
    <t>R1815</t>
  </si>
  <si>
    <t>R1816</t>
  </si>
  <si>
    <t>R1817</t>
  </si>
  <si>
    <t>R1818</t>
  </si>
  <si>
    <t>R1819</t>
  </si>
  <si>
    <t>R1820</t>
  </si>
  <si>
    <t>R1821</t>
  </si>
  <si>
    <t>R1822</t>
  </si>
  <si>
    <t>R1823</t>
  </si>
  <si>
    <t>R1824</t>
  </si>
  <si>
    <t>R1825</t>
  </si>
  <si>
    <t>R1826</t>
  </si>
  <si>
    <t>R1827</t>
  </si>
  <si>
    <t>R1828</t>
  </si>
  <si>
    <t>R1829</t>
  </si>
  <si>
    <t>R1830</t>
  </si>
  <si>
    <t>R1831</t>
  </si>
  <si>
    <t>R1832</t>
  </si>
  <si>
    <t>R1833</t>
  </si>
  <si>
    <t>R1834</t>
  </si>
  <si>
    <t>R1835</t>
  </si>
  <si>
    <t>R1836</t>
  </si>
  <si>
    <t>R1837</t>
  </si>
  <si>
    <t>R1838</t>
  </si>
  <si>
    <t>R1839</t>
  </si>
  <si>
    <t>R1840</t>
  </si>
  <si>
    <t>R1841</t>
  </si>
  <si>
    <t>R1842</t>
  </si>
  <si>
    <t>R1843</t>
  </si>
  <si>
    <t>R1844</t>
  </si>
  <si>
    <t>R1845</t>
  </si>
  <si>
    <t>R1846</t>
  </si>
  <si>
    <t>R1847</t>
  </si>
  <si>
    <t>R1848</t>
  </si>
  <si>
    <t>R1849</t>
  </si>
  <si>
    <t>R1850</t>
  </si>
  <si>
    <t>R1851</t>
  </si>
  <si>
    <t>R1852</t>
  </si>
  <si>
    <t>R1853</t>
  </si>
  <si>
    <t>R1854</t>
  </si>
  <si>
    <t>R1855</t>
  </si>
  <si>
    <t>R1856</t>
  </si>
  <si>
    <t>R1857</t>
  </si>
  <si>
    <t>R1858</t>
  </si>
  <si>
    <t>R1859</t>
  </si>
  <si>
    <t>R1860</t>
  </si>
  <si>
    <t>R1861</t>
  </si>
  <si>
    <t>R1862</t>
  </si>
  <si>
    <t>R1863</t>
  </si>
  <si>
    <t>R1864</t>
  </si>
  <si>
    <t>R1865</t>
  </si>
  <si>
    <t>R1866</t>
  </si>
  <si>
    <t>R1867</t>
  </si>
  <si>
    <t>R1868</t>
  </si>
  <si>
    <t>R1869</t>
  </si>
  <si>
    <t>R1870</t>
  </si>
  <si>
    <t>R1871</t>
  </si>
  <si>
    <t>R1872</t>
  </si>
  <si>
    <t>R1873</t>
  </si>
  <si>
    <t>R1874</t>
  </si>
  <si>
    <t>R1875</t>
  </si>
  <si>
    <t>R1876</t>
  </si>
  <si>
    <t>R1877</t>
  </si>
  <si>
    <t>R1878</t>
  </si>
  <si>
    <t>R1879</t>
  </si>
  <si>
    <t>R1880</t>
  </si>
  <si>
    <t>R1881</t>
  </si>
  <si>
    <t>R1882</t>
  </si>
  <si>
    <t>R1883</t>
  </si>
  <si>
    <t>R1884</t>
  </si>
  <si>
    <t>R1885</t>
  </si>
  <si>
    <t>R1886</t>
  </si>
  <si>
    <t>R1887</t>
  </si>
  <si>
    <t>R1888</t>
  </si>
  <si>
    <t>R1889</t>
  </si>
  <si>
    <t>R1890</t>
  </si>
  <si>
    <t>R1891</t>
  </si>
  <si>
    <t>R1892</t>
  </si>
  <si>
    <t>R1893</t>
  </si>
  <si>
    <t>R1894</t>
  </si>
  <si>
    <t>R1895</t>
  </si>
  <si>
    <t>R1896</t>
  </si>
  <si>
    <t>R1897</t>
  </si>
  <si>
    <t>R1898</t>
  </si>
  <si>
    <t>R1899</t>
  </si>
  <si>
    <t>R1900</t>
  </si>
  <si>
    <t>R1901</t>
  </si>
  <si>
    <t>R1902</t>
  </si>
  <si>
    <t>R1903</t>
  </si>
  <si>
    <t>R1904</t>
  </si>
  <si>
    <t>R1905</t>
  </si>
  <si>
    <t>R1906</t>
  </si>
  <si>
    <t>R1907</t>
  </si>
  <si>
    <t>R1908</t>
  </si>
  <si>
    <t>R1909</t>
  </si>
  <si>
    <t>R1910</t>
  </si>
  <si>
    <t>R1911</t>
  </si>
  <si>
    <t>R1912</t>
  </si>
  <si>
    <t>R1913</t>
  </si>
  <si>
    <t>R1914</t>
  </si>
  <si>
    <t>R1915</t>
  </si>
  <si>
    <t>R1916</t>
  </si>
  <si>
    <t>R1917</t>
  </si>
  <si>
    <t>R1918</t>
  </si>
  <si>
    <t>R1919</t>
  </si>
  <si>
    <t>R1920</t>
  </si>
  <si>
    <t>R1921</t>
  </si>
  <si>
    <t>R1922</t>
  </si>
  <si>
    <t>R1923</t>
  </si>
  <si>
    <t>R1924</t>
  </si>
  <si>
    <t>R1925</t>
  </si>
  <si>
    <t>R1926</t>
  </si>
  <si>
    <t>R1927</t>
  </si>
  <si>
    <t>R1928</t>
  </si>
  <si>
    <t>R1929</t>
  </si>
  <si>
    <t>R1930</t>
  </si>
  <si>
    <t>R1931</t>
  </si>
  <si>
    <t>R1932</t>
  </si>
  <si>
    <t>R1933</t>
  </si>
  <si>
    <t>R1934</t>
  </si>
  <si>
    <t>R1935</t>
  </si>
  <si>
    <t>R1936</t>
  </si>
  <si>
    <t>R1937</t>
  </si>
  <si>
    <t>R1938</t>
  </si>
  <si>
    <t>R1939</t>
  </si>
  <si>
    <t>R1940</t>
  </si>
  <si>
    <t>R1941</t>
  </si>
  <si>
    <t>R1942</t>
  </si>
  <si>
    <t>R1943</t>
  </si>
  <si>
    <t>R1944</t>
  </si>
  <si>
    <t>R1945</t>
  </si>
  <si>
    <t>R1946</t>
  </si>
  <si>
    <t>R1947</t>
  </si>
  <si>
    <t>R1948</t>
  </si>
  <si>
    <t>R1949</t>
  </si>
  <si>
    <t>R1950</t>
  </si>
  <si>
    <t>R1951</t>
  </si>
  <si>
    <t>R1952</t>
  </si>
  <si>
    <t>R1953</t>
  </si>
  <si>
    <t>R1954</t>
  </si>
  <si>
    <t>R1955</t>
  </si>
  <si>
    <t>R1956</t>
  </si>
  <si>
    <t>R1957</t>
  </si>
  <si>
    <t>R1958</t>
  </si>
  <si>
    <t>R1959</t>
  </si>
  <si>
    <t>R1960</t>
  </si>
  <si>
    <t>R1961</t>
  </si>
  <si>
    <t>R1962</t>
  </si>
  <si>
    <t>R1963</t>
  </si>
  <si>
    <t>R1964</t>
  </si>
  <si>
    <t>R1965</t>
  </si>
  <si>
    <t>R1966</t>
  </si>
  <si>
    <t>R1967</t>
  </si>
  <si>
    <t>R1968</t>
  </si>
  <si>
    <t>R1969</t>
  </si>
  <si>
    <t>R1970</t>
  </si>
  <si>
    <t>R1971</t>
  </si>
  <si>
    <t>R1972</t>
  </si>
  <si>
    <t>R1973</t>
  </si>
  <si>
    <t>R1974</t>
  </si>
  <si>
    <t>R1975</t>
  </si>
  <si>
    <t>R1976</t>
  </si>
  <si>
    <t>R1977</t>
  </si>
  <si>
    <t>R1978</t>
  </si>
  <si>
    <t>R1979</t>
  </si>
  <si>
    <t>R1980</t>
  </si>
  <si>
    <t>R1981</t>
  </si>
  <si>
    <t>R1982</t>
  </si>
  <si>
    <t>R1983</t>
  </si>
  <si>
    <t>R1984</t>
  </si>
  <si>
    <t>R1985</t>
  </si>
  <si>
    <t>R1986</t>
  </si>
  <si>
    <t>R1987</t>
  </si>
  <si>
    <t>R1988</t>
  </si>
  <si>
    <t>R1989</t>
  </si>
  <si>
    <t>R1990</t>
  </si>
  <si>
    <t>R1991</t>
  </si>
  <si>
    <t>R1992</t>
  </si>
  <si>
    <t>R1993</t>
  </si>
  <si>
    <t>R1994</t>
  </si>
  <si>
    <t>R1995</t>
  </si>
  <si>
    <t>R1996</t>
  </si>
  <si>
    <t>R1997</t>
  </si>
  <si>
    <t>R1998</t>
  </si>
  <si>
    <t>R1999</t>
  </si>
  <si>
    <t>IIT Madras</t>
  </si>
  <si>
    <t>SRM</t>
  </si>
  <si>
    <t>IIT Kanpur</t>
  </si>
  <si>
    <t>IIT Bombay</t>
  </si>
  <si>
    <t>BITS Pilani</t>
  </si>
  <si>
    <t>NIT Warangal</t>
  </si>
  <si>
    <t>VIT</t>
  </si>
  <si>
    <t>IIT Delhi</t>
  </si>
  <si>
    <t>NIT Trichy</t>
  </si>
  <si>
    <t>Anna University</t>
  </si>
  <si>
    <t>Ahmedabad</t>
  </si>
  <si>
    <t>Jaipur</t>
  </si>
  <si>
    <t>Pune</t>
  </si>
  <si>
    <t>Kolkata</t>
  </si>
  <si>
    <t>Mumbai</t>
  </si>
  <si>
    <t>Chennai</t>
  </si>
  <si>
    <t>Hyderabad</t>
  </si>
  <si>
    <t>Delhi</t>
  </si>
  <si>
    <t>Lucknow</t>
  </si>
  <si>
    <t>Bangalore</t>
  </si>
  <si>
    <t>Nepalese</t>
  </si>
  <si>
    <t>Sri Lankan</t>
  </si>
  <si>
    <t>Indian</t>
  </si>
  <si>
    <t>Bangladeshi</t>
  </si>
  <si>
    <t>Bhutanese</t>
  </si>
  <si>
    <t>Pass</t>
  </si>
  <si>
    <t>Fail</t>
  </si>
  <si>
    <t>b)</t>
  </si>
  <si>
    <t xml:space="preserve">                                                                            Nepalese                                          </t>
  </si>
  <si>
    <t xml:space="preserve">                                                                                            </t>
  </si>
  <si>
    <t xml:space="preserve">Pune                                                                                                                                               pass                                                                                                                                                                                                                       </t>
  </si>
  <si>
    <t>1)   Trim function</t>
  </si>
  <si>
    <t>a)</t>
  </si>
  <si>
    <t>696067</t>
  </si>
  <si>
    <t>2) concatenate function</t>
  </si>
  <si>
    <t>3) Operators</t>
  </si>
  <si>
    <t>a) &amp;</t>
  </si>
  <si>
    <t>4)</t>
  </si>
  <si>
    <t>a) right</t>
  </si>
  <si>
    <t>b) left</t>
  </si>
  <si>
    <t>c) mid</t>
  </si>
  <si>
    <t>d) uppercase</t>
  </si>
  <si>
    <t>e) lowercase</t>
  </si>
  <si>
    <t>f) substitute</t>
  </si>
  <si>
    <t>5)  a) sum</t>
  </si>
  <si>
    <t>b)  minus</t>
  </si>
  <si>
    <t>c) mul</t>
  </si>
  <si>
    <t>d) div</t>
  </si>
  <si>
    <t>b) min</t>
  </si>
  <si>
    <t>c) max</t>
  </si>
  <si>
    <t xml:space="preserve">6)   </t>
  </si>
  <si>
    <t>a) average</t>
  </si>
  <si>
    <t>d) custom avrage</t>
  </si>
  <si>
    <t>sum:</t>
  </si>
  <si>
    <t>7) rank avrage</t>
  </si>
  <si>
    <t>rank avrage</t>
  </si>
  <si>
    <t>8)rank.eq</t>
  </si>
  <si>
    <t>1) conditional statement</t>
  </si>
  <si>
    <t xml:space="preserve">check result </t>
  </si>
  <si>
    <t>pass</t>
  </si>
  <si>
    <t>a) =</t>
  </si>
  <si>
    <t>comparision</t>
  </si>
  <si>
    <t>b) &gt;</t>
  </si>
  <si>
    <t>greater than</t>
  </si>
  <si>
    <t>check value</t>
  </si>
  <si>
    <t>c) &lt;</t>
  </si>
  <si>
    <t>Less than</t>
  </si>
  <si>
    <t>greater than eqaual</t>
  </si>
  <si>
    <t xml:space="preserve"> d) &gt;=</t>
  </si>
  <si>
    <t>e) &lt;=</t>
  </si>
  <si>
    <t>Less than equals</t>
  </si>
  <si>
    <t>value1 is gt value2</t>
  </si>
  <si>
    <t>check space</t>
  </si>
  <si>
    <t>marks in maths</t>
  </si>
  <si>
    <t>marks in scince</t>
  </si>
  <si>
    <t>student is pass, student is fail</t>
  </si>
  <si>
    <t>val &gt; ?</t>
  </si>
  <si>
    <t>1) if else</t>
  </si>
  <si>
    <t>val1</t>
  </si>
  <si>
    <t>val2</t>
  </si>
  <si>
    <t>vl3</t>
  </si>
  <si>
    <t>val1&gt;val2</t>
  </si>
  <si>
    <t>:good</t>
  </si>
  <si>
    <t>bad</t>
  </si>
  <si>
    <t>val1&gt;val3</t>
  </si>
  <si>
    <t>:ok</t>
  </si>
  <si>
    <t>3)</t>
  </si>
  <si>
    <t>if-elseif-else</t>
  </si>
  <si>
    <t>countif</t>
  </si>
  <si>
    <t>4)sumif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</si>
</sst>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1" fillId="2" borderId="0" xfId="0" applyFont="1" applyFill="1"/>
    <xf numFmtId="0" fontId="1" fillId="0" borderId="0" xfId="0" applyFont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opLeftCell="B81" zoomScaleNormal="100" workbookViewId="0">
      <selection activeCell="L92" sqref="L92"/>
    </sheetView>
  </sheetViews>
  <sheetFormatPr defaultRowHeight="15" x14ac:dyDescent="0.25"/>
  <cols>
    <col min="1" max="1" width="17.85546875" customWidth="1"/>
    <col min="2" max="2" width="15.140625" customWidth="1"/>
    <col min="3" max="3" width="13.85546875" customWidth="1"/>
    <col min="4" max="4" width="14.140625" customWidth="1"/>
    <col min="5" max="5" width="13.5703125" customWidth="1"/>
    <col min="6" max="6" width="13" customWidth="1"/>
    <col min="7" max="7" width="12.7109375" customWidth="1"/>
    <col min="8" max="8" width="10.7109375" customWidth="1"/>
    <col min="9" max="9" width="14" customWidth="1"/>
    <col min="10" max="10" width="12.28515625" customWidth="1"/>
    <col min="12" max="12" width="14" customWidth="1"/>
    <col min="13" max="13" width="16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5">
      <c r="A2" t="s">
        <v>8</v>
      </c>
      <c r="B2" t="s">
        <v>108</v>
      </c>
      <c r="C2" t="s">
        <v>1108</v>
      </c>
      <c r="D2" t="s">
        <v>1118</v>
      </c>
      <c r="E2">
        <v>83.07</v>
      </c>
      <c r="F2">
        <v>810898</v>
      </c>
      <c r="G2" t="s">
        <v>1128</v>
      </c>
      <c r="H2" t="s">
        <v>1133</v>
      </c>
    </row>
    <row r="3" spans="1:11" x14ac:dyDescent="0.25">
      <c r="A3" t="s">
        <v>9</v>
      </c>
      <c r="B3" t="s">
        <v>109</v>
      </c>
      <c r="C3" t="s">
        <v>1109</v>
      </c>
      <c r="D3" t="s">
        <v>1119</v>
      </c>
      <c r="E3">
        <v>65.63</v>
      </c>
      <c r="F3">
        <v>704184</v>
      </c>
      <c r="G3" t="s">
        <v>1128</v>
      </c>
      <c r="H3" t="s">
        <v>1133</v>
      </c>
    </row>
    <row r="4" spans="1:11" x14ac:dyDescent="0.25">
      <c r="A4" t="s">
        <v>10</v>
      </c>
      <c r="B4" t="s">
        <v>110</v>
      </c>
      <c r="C4" t="s">
        <v>1110</v>
      </c>
      <c r="D4" t="s">
        <v>1120</v>
      </c>
      <c r="E4">
        <v>39.79</v>
      </c>
      <c r="F4">
        <v>969737</v>
      </c>
      <c r="G4" t="s">
        <v>1129</v>
      </c>
      <c r="H4" t="s">
        <v>1133</v>
      </c>
    </row>
    <row r="5" spans="1:11" x14ac:dyDescent="0.25">
      <c r="A5" t="s">
        <v>11</v>
      </c>
      <c r="B5" t="s">
        <v>111</v>
      </c>
      <c r="C5" t="s">
        <v>1111</v>
      </c>
      <c r="D5" t="s">
        <v>1121</v>
      </c>
      <c r="E5">
        <v>94.76</v>
      </c>
      <c r="F5">
        <v>365755</v>
      </c>
      <c r="G5" t="s">
        <v>1130</v>
      </c>
      <c r="H5" t="s">
        <v>1134</v>
      </c>
    </row>
    <row r="6" spans="1:11" x14ac:dyDescent="0.25">
      <c r="A6" t="s">
        <v>12</v>
      </c>
      <c r="B6" t="s">
        <v>112</v>
      </c>
      <c r="C6" t="s">
        <v>1112</v>
      </c>
      <c r="D6" t="s">
        <v>1122</v>
      </c>
      <c r="E6">
        <v>84.23</v>
      </c>
      <c r="F6">
        <v>638885</v>
      </c>
      <c r="G6" t="s">
        <v>1131</v>
      </c>
      <c r="H6" t="s">
        <v>1133</v>
      </c>
      <c r="I6" s="3" t="s">
        <v>1139</v>
      </c>
    </row>
    <row r="7" spans="1:11" x14ac:dyDescent="0.25">
      <c r="A7" t="s">
        <v>13</v>
      </c>
      <c r="B7" t="s">
        <v>113</v>
      </c>
      <c r="C7" t="s">
        <v>1110</v>
      </c>
      <c r="D7" t="s">
        <v>1122</v>
      </c>
      <c r="E7">
        <v>35.53</v>
      </c>
      <c r="F7">
        <v>901020</v>
      </c>
      <c r="G7" t="s">
        <v>1130</v>
      </c>
      <c r="H7" t="s">
        <v>1133</v>
      </c>
      <c r="I7" t="s">
        <v>1140</v>
      </c>
    </row>
    <row r="8" spans="1:11" x14ac:dyDescent="0.25">
      <c r="A8" t="s">
        <v>14</v>
      </c>
      <c r="B8" t="s">
        <v>114</v>
      </c>
      <c r="C8" t="s">
        <v>1111</v>
      </c>
      <c r="D8" t="s">
        <v>1123</v>
      </c>
      <c r="E8">
        <v>76.09</v>
      </c>
      <c r="F8">
        <v>560363</v>
      </c>
      <c r="G8" t="s">
        <v>1132</v>
      </c>
      <c r="H8" t="s">
        <v>1133</v>
      </c>
      <c r="J8" t="s">
        <v>1137</v>
      </c>
      <c r="K8" t="s">
        <v>1136</v>
      </c>
    </row>
    <row r="9" spans="1:11" x14ac:dyDescent="0.25">
      <c r="A9" t="s">
        <v>15</v>
      </c>
      <c r="B9" t="s">
        <v>115</v>
      </c>
      <c r="C9" t="s">
        <v>1112</v>
      </c>
      <c r="D9" t="s">
        <v>1120</v>
      </c>
      <c r="E9">
        <v>92.88</v>
      </c>
      <c r="F9">
        <v>220806</v>
      </c>
      <c r="G9" t="s">
        <v>1131</v>
      </c>
      <c r="H9" t="s">
        <v>1134</v>
      </c>
      <c r="J9" t="str">
        <f>TRIM(K8)</f>
        <v>Nepalese</v>
      </c>
    </row>
    <row r="10" spans="1:11" x14ac:dyDescent="0.25">
      <c r="A10" t="s">
        <v>16</v>
      </c>
      <c r="B10" t="s">
        <v>116</v>
      </c>
      <c r="C10" t="s">
        <v>1113</v>
      </c>
      <c r="D10" t="s">
        <v>1120</v>
      </c>
      <c r="E10">
        <v>53.16</v>
      </c>
      <c r="F10">
        <v>164587</v>
      </c>
      <c r="G10" t="s">
        <v>1128</v>
      </c>
      <c r="H10" t="s">
        <v>1133</v>
      </c>
    </row>
    <row r="11" spans="1:11" x14ac:dyDescent="0.25">
      <c r="A11" t="s">
        <v>17</v>
      </c>
      <c r="B11" t="s">
        <v>117</v>
      </c>
      <c r="C11" t="s">
        <v>1108</v>
      </c>
      <c r="D11" t="s">
        <v>1124</v>
      </c>
      <c r="E11">
        <v>99.56</v>
      </c>
      <c r="F11">
        <v>378449</v>
      </c>
      <c r="G11" t="s">
        <v>1130</v>
      </c>
      <c r="H11" t="s">
        <v>1133</v>
      </c>
    </row>
    <row r="12" spans="1:11" x14ac:dyDescent="0.25">
      <c r="A12" t="s">
        <v>18</v>
      </c>
      <c r="B12" t="s">
        <v>118</v>
      </c>
      <c r="C12" t="s">
        <v>1114</v>
      </c>
      <c r="D12" t="s">
        <v>1125</v>
      </c>
      <c r="E12">
        <v>67.38</v>
      </c>
      <c r="F12">
        <v>153520</v>
      </c>
      <c r="G12" t="s">
        <v>1129</v>
      </c>
      <c r="H12" t="s">
        <v>1133</v>
      </c>
      <c r="I12" t="s">
        <v>1135</v>
      </c>
      <c r="J12" t="s">
        <v>1138</v>
      </c>
    </row>
    <row r="13" spans="1:11" x14ac:dyDescent="0.25">
      <c r="A13" t="s">
        <v>19</v>
      </c>
      <c r="B13" t="s">
        <v>119</v>
      </c>
      <c r="C13" t="s">
        <v>1112</v>
      </c>
      <c r="D13" t="s">
        <v>1120</v>
      </c>
      <c r="E13">
        <v>60.84</v>
      </c>
      <c r="F13">
        <v>113907</v>
      </c>
      <c r="G13" t="s">
        <v>1129</v>
      </c>
      <c r="H13" t="s">
        <v>1133</v>
      </c>
    </row>
    <row r="14" spans="1:11" x14ac:dyDescent="0.25">
      <c r="A14" t="s">
        <v>20</v>
      </c>
      <c r="B14" t="s">
        <v>120</v>
      </c>
      <c r="C14" t="s">
        <v>1115</v>
      </c>
      <c r="D14" t="s">
        <v>1118</v>
      </c>
      <c r="E14">
        <v>87.82</v>
      </c>
      <c r="F14">
        <v>950741</v>
      </c>
      <c r="G14" t="s">
        <v>1130</v>
      </c>
      <c r="H14" t="s">
        <v>1134</v>
      </c>
    </row>
    <row r="15" spans="1:11" x14ac:dyDescent="0.25">
      <c r="A15" t="s">
        <v>21</v>
      </c>
      <c r="B15" t="s">
        <v>121</v>
      </c>
      <c r="C15" t="s">
        <v>1116</v>
      </c>
      <c r="D15" t="s">
        <v>1126</v>
      </c>
      <c r="E15">
        <v>78.42</v>
      </c>
      <c r="F15">
        <v>443837</v>
      </c>
      <c r="G15" t="s">
        <v>1132</v>
      </c>
      <c r="H15" t="s">
        <v>1133</v>
      </c>
      <c r="J15" t="str">
        <f>TRIM(J12)</f>
        <v>Pune pass</v>
      </c>
    </row>
    <row r="16" spans="1:11" x14ac:dyDescent="0.25">
      <c r="A16" t="s">
        <v>22</v>
      </c>
      <c r="B16" t="s">
        <v>122</v>
      </c>
      <c r="C16" t="s">
        <v>1115</v>
      </c>
      <c r="D16" t="s">
        <v>1121</v>
      </c>
      <c r="E16">
        <v>48.58</v>
      </c>
      <c r="F16">
        <v>888640</v>
      </c>
      <c r="G16" t="s">
        <v>1130</v>
      </c>
      <c r="H16" t="s">
        <v>1133</v>
      </c>
    </row>
    <row r="17" spans="1:12" x14ac:dyDescent="0.25">
      <c r="A17" t="s">
        <v>23</v>
      </c>
      <c r="B17" t="s">
        <v>123</v>
      </c>
      <c r="C17" t="s">
        <v>1113</v>
      </c>
      <c r="D17" t="s">
        <v>1119</v>
      </c>
      <c r="E17">
        <v>35.42</v>
      </c>
      <c r="F17">
        <v>447960</v>
      </c>
      <c r="G17" t="s">
        <v>1130</v>
      </c>
      <c r="H17" t="s">
        <v>1133</v>
      </c>
    </row>
    <row r="18" spans="1:12" x14ac:dyDescent="0.25">
      <c r="A18" t="s">
        <v>24</v>
      </c>
      <c r="B18" t="s">
        <v>124</v>
      </c>
      <c r="C18" t="s">
        <v>1112</v>
      </c>
      <c r="D18" t="s">
        <v>1123</v>
      </c>
      <c r="E18">
        <v>55.03</v>
      </c>
      <c r="F18">
        <v>622406</v>
      </c>
      <c r="G18" t="s">
        <v>1129</v>
      </c>
      <c r="H18" t="s">
        <v>1133</v>
      </c>
    </row>
    <row r="19" spans="1:12" x14ac:dyDescent="0.25">
      <c r="A19" t="s">
        <v>25</v>
      </c>
      <c r="B19" t="s">
        <v>125</v>
      </c>
      <c r="C19" t="s">
        <v>1111</v>
      </c>
      <c r="D19" t="s">
        <v>1125</v>
      </c>
      <c r="E19">
        <v>56</v>
      </c>
      <c r="F19">
        <v>484872</v>
      </c>
      <c r="G19" t="s">
        <v>1131</v>
      </c>
      <c r="H19" t="s">
        <v>1134</v>
      </c>
      <c r="I19" s="3" t="s">
        <v>1142</v>
      </c>
    </row>
    <row r="20" spans="1:12" x14ac:dyDescent="0.25">
      <c r="A20" t="s">
        <v>26</v>
      </c>
      <c r="B20" t="s">
        <v>126</v>
      </c>
      <c r="C20" t="s">
        <v>1108</v>
      </c>
      <c r="D20" t="s">
        <v>1126</v>
      </c>
      <c r="E20">
        <v>88.14</v>
      </c>
      <c r="F20">
        <v>401546</v>
      </c>
      <c r="G20" t="s">
        <v>1130</v>
      </c>
      <c r="H20" t="s">
        <v>1133</v>
      </c>
    </row>
    <row r="21" spans="1:12" x14ac:dyDescent="0.25">
      <c r="A21" t="s">
        <v>27</v>
      </c>
      <c r="B21" t="s">
        <v>127</v>
      </c>
      <c r="C21" t="s">
        <v>1108</v>
      </c>
      <c r="D21" t="s">
        <v>1126</v>
      </c>
      <c r="E21">
        <v>93.44</v>
      </c>
      <c r="F21">
        <v>901370</v>
      </c>
      <c r="G21" t="s">
        <v>1128</v>
      </c>
      <c r="H21" t="s">
        <v>1133</v>
      </c>
      <c r="I21" t="s">
        <v>1140</v>
      </c>
      <c r="J21" t="s">
        <v>28</v>
      </c>
      <c r="L21" t="s">
        <v>128</v>
      </c>
    </row>
    <row r="22" spans="1:12" x14ac:dyDescent="0.25">
      <c r="A22" t="s">
        <v>28</v>
      </c>
      <c r="B22" t="s">
        <v>128</v>
      </c>
      <c r="C22" t="s">
        <v>1115</v>
      </c>
      <c r="D22" t="s">
        <v>1120</v>
      </c>
      <c r="E22">
        <v>61.5</v>
      </c>
      <c r="F22">
        <v>364071</v>
      </c>
      <c r="G22" t="s">
        <v>1128</v>
      </c>
      <c r="H22" t="s">
        <v>1133</v>
      </c>
    </row>
    <row r="23" spans="1:12" x14ac:dyDescent="0.25">
      <c r="A23" t="s">
        <v>29</v>
      </c>
      <c r="B23" t="s">
        <v>129</v>
      </c>
      <c r="C23" t="s">
        <v>1111</v>
      </c>
      <c r="D23" t="s">
        <v>1125</v>
      </c>
      <c r="E23">
        <v>93.89</v>
      </c>
      <c r="F23">
        <v>321816</v>
      </c>
      <c r="G23" t="s">
        <v>1132</v>
      </c>
      <c r="H23" t="s">
        <v>1133</v>
      </c>
      <c r="J23" t="str">
        <f>_xlfn.CONCAT(J21," ",L21)</f>
        <v>Aarav Reddy R1020</v>
      </c>
    </row>
    <row r="24" spans="1:12" x14ac:dyDescent="0.25">
      <c r="A24" t="s">
        <v>30</v>
      </c>
      <c r="B24" t="s">
        <v>130</v>
      </c>
      <c r="C24" t="s">
        <v>1110</v>
      </c>
      <c r="D24" t="s">
        <v>1123</v>
      </c>
      <c r="E24">
        <v>73</v>
      </c>
      <c r="F24">
        <v>696067</v>
      </c>
      <c r="G24" t="s">
        <v>1129</v>
      </c>
      <c r="H24" t="s">
        <v>1133</v>
      </c>
    </row>
    <row r="25" spans="1:12" x14ac:dyDescent="0.25">
      <c r="A25" t="s">
        <v>31</v>
      </c>
      <c r="B25" t="s">
        <v>131</v>
      </c>
      <c r="C25" t="s">
        <v>1112</v>
      </c>
      <c r="D25" t="s">
        <v>1121</v>
      </c>
      <c r="E25">
        <v>61.33</v>
      </c>
      <c r="F25">
        <v>367447</v>
      </c>
      <c r="G25" t="s">
        <v>1129</v>
      </c>
      <c r="H25" t="s">
        <v>1133</v>
      </c>
      <c r="I25" t="s">
        <v>1135</v>
      </c>
      <c r="J25" s="2" t="s">
        <v>1141</v>
      </c>
      <c r="L25" t="s">
        <v>1123</v>
      </c>
    </row>
    <row r="26" spans="1:12" x14ac:dyDescent="0.25">
      <c r="A26" t="s">
        <v>32</v>
      </c>
      <c r="B26" t="s">
        <v>132</v>
      </c>
      <c r="C26" t="s">
        <v>1111</v>
      </c>
      <c r="D26" t="s">
        <v>1121</v>
      </c>
      <c r="E26">
        <v>81.06</v>
      </c>
      <c r="F26">
        <v>943455</v>
      </c>
      <c r="G26" t="s">
        <v>1130</v>
      </c>
      <c r="H26" t="s">
        <v>1134</v>
      </c>
    </row>
    <row r="27" spans="1:12" x14ac:dyDescent="0.25">
      <c r="A27" t="s">
        <v>33</v>
      </c>
      <c r="B27" t="s">
        <v>133</v>
      </c>
      <c r="C27" t="s">
        <v>1113</v>
      </c>
      <c r="D27" t="s">
        <v>1123</v>
      </c>
      <c r="E27">
        <v>97.4</v>
      </c>
      <c r="F27">
        <v>931337</v>
      </c>
      <c r="G27" t="s">
        <v>1129</v>
      </c>
      <c r="H27" t="s">
        <v>1133</v>
      </c>
      <c r="J27" t="str">
        <f>_xlfn.CONCAT(J25,"vihan Reddy", L25)</f>
        <v>696067vihan ReddyChennai</v>
      </c>
    </row>
    <row r="28" spans="1:12" x14ac:dyDescent="0.25">
      <c r="A28" t="s">
        <v>34</v>
      </c>
      <c r="B28" t="s">
        <v>134</v>
      </c>
      <c r="C28" t="s">
        <v>1110</v>
      </c>
      <c r="D28" t="s">
        <v>1126</v>
      </c>
      <c r="E28">
        <v>86.66</v>
      </c>
      <c r="F28">
        <v>931071</v>
      </c>
      <c r="G28" t="s">
        <v>1132</v>
      </c>
      <c r="H28" t="s">
        <v>1133</v>
      </c>
    </row>
    <row r="29" spans="1:12" x14ac:dyDescent="0.25">
      <c r="A29" t="s">
        <v>20</v>
      </c>
      <c r="B29" t="s">
        <v>135</v>
      </c>
      <c r="C29" t="s">
        <v>1113</v>
      </c>
      <c r="D29" t="s">
        <v>1125</v>
      </c>
      <c r="E29">
        <v>64.02</v>
      </c>
      <c r="F29">
        <v>405865</v>
      </c>
      <c r="G29" t="s">
        <v>1129</v>
      </c>
      <c r="H29" t="s">
        <v>1133</v>
      </c>
      <c r="I29" s="3" t="s">
        <v>1143</v>
      </c>
    </row>
    <row r="30" spans="1:12" x14ac:dyDescent="0.25">
      <c r="A30" t="s">
        <v>35</v>
      </c>
      <c r="B30" t="s">
        <v>136</v>
      </c>
      <c r="C30" t="s">
        <v>1116</v>
      </c>
      <c r="D30" t="s">
        <v>1120</v>
      </c>
      <c r="E30">
        <v>72.48</v>
      </c>
      <c r="F30">
        <v>662068</v>
      </c>
      <c r="G30" t="s">
        <v>1130</v>
      </c>
      <c r="H30" t="s">
        <v>1134</v>
      </c>
    </row>
    <row r="31" spans="1:12" x14ac:dyDescent="0.25">
      <c r="A31" t="s">
        <v>36</v>
      </c>
      <c r="B31" t="s">
        <v>137</v>
      </c>
      <c r="C31" t="s">
        <v>1116</v>
      </c>
      <c r="D31" t="s">
        <v>1122</v>
      </c>
      <c r="E31">
        <v>46.16</v>
      </c>
      <c r="F31">
        <v>151031</v>
      </c>
      <c r="G31" t="s">
        <v>1129</v>
      </c>
      <c r="H31" t="s">
        <v>1134</v>
      </c>
      <c r="I31" t="s">
        <v>1144</v>
      </c>
      <c r="J31" t="str">
        <f>J21&amp;" "&amp;L21&amp;" "&amp;L25</f>
        <v>Aarav Reddy R1020 Chennai</v>
      </c>
    </row>
    <row r="32" spans="1:12" x14ac:dyDescent="0.25">
      <c r="A32" t="s">
        <v>37</v>
      </c>
      <c r="B32" t="s">
        <v>138</v>
      </c>
      <c r="C32" t="s">
        <v>1113</v>
      </c>
      <c r="D32" t="s">
        <v>1122</v>
      </c>
      <c r="E32">
        <v>70.709999999999994</v>
      </c>
      <c r="F32">
        <v>994905</v>
      </c>
      <c r="G32" t="s">
        <v>1132</v>
      </c>
      <c r="H32" t="s">
        <v>1133</v>
      </c>
    </row>
    <row r="33" spans="1:13" x14ac:dyDescent="0.25">
      <c r="A33" t="s">
        <v>38</v>
      </c>
      <c r="B33" t="s">
        <v>139</v>
      </c>
      <c r="C33" t="s">
        <v>1110</v>
      </c>
      <c r="D33" t="s">
        <v>1119</v>
      </c>
      <c r="E33">
        <v>51.07</v>
      </c>
      <c r="F33">
        <v>161939</v>
      </c>
      <c r="G33" t="s">
        <v>1129</v>
      </c>
      <c r="H33" t="s">
        <v>1134</v>
      </c>
      <c r="I33" s="3" t="s">
        <v>1145</v>
      </c>
    </row>
    <row r="34" spans="1:13" x14ac:dyDescent="0.25">
      <c r="A34" t="s">
        <v>39</v>
      </c>
      <c r="B34" t="s">
        <v>140</v>
      </c>
      <c r="C34" t="s">
        <v>1109</v>
      </c>
      <c r="D34" t="s">
        <v>1127</v>
      </c>
      <c r="E34">
        <v>68.36</v>
      </c>
      <c r="F34">
        <v>205699</v>
      </c>
      <c r="G34" t="s">
        <v>1129</v>
      </c>
      <c r="H34" t="s">
        <v>1133</v>
      </c>
      <c r="I34" t="s">
        <v>1146</v>
      </c>
      <c r="J34" t="str">
        <f>RIGHT(J31,7)</f>
        <v>Chennai</v>
      </c>
      <c r="M34" t="str">
        <f>M24&amp;" "&amp;O24&amp;" "&amp;O28</f>
        <v xml:space="preserve">  </v>
      </c>
    </row>
    <row r="35" spans="1:13" x14ac:dyDescent="0.25">
      <c r="A35" t="s">
        <v>14</v>
      </c>
      <c r="B35" t="s">
        <v>141</v>
      </c>
      <c r="C35" t="s">
        <v>1116</v>
      </c>
      <c r="D35" t="s">
        <v>1120</v>
      </c>
      <c r="E35">
        <v>92.74</v>
      </c>
      <c r="F35">
        <v>865178</v>
      </c>
      <c r="G35" t="s">
        <v>1131</v>
      </c>
      <c r="H35" t="s">
        <v>1134</v>
      </c>
    </row>
    <row r="36" spans="1:13" x14ac:dyDescent="0.25">
      <c r="A36" t="s">
        <v>8</v>
      </c>
      <c r="B36" t="s">
        <v>142</v>
      </c>
      <c r="C36" t="s">
        <v>1116</v>
      </c>
      <c r="D36" t="s">
        <v>1127</v>
      </c>
      <c r="E36">
        <v>39.51</v>
      </c>
      <c r="F36">
        <v>295544</v>
      </c>
      <c r="G36" t="s">
        <v>1131</v>
      </c>
      <c r="H36" t="s">
        <v>1133</v>
      </c>
      <c r="I36" t="s">
        <v>1147</v>
      </c>
      <c r="J36" t="str">
        <f>LEFT(J31,5)</f>
        <v>Aarav</v>
      </c>
      <c r="M36" t="str">
        <f>M26&amp;" "&amp;O26&amp;" "&amp;O30</f>
        <v xml:space="preserve">  </v>
      </c>
    </row>
    <row r="37" spans="1:13" x14ac:dyDescent="0.25">
      <c r="A37" t="s">
        <v>40</v>
      </c>
      <c r="B37" t="s">
        <v>143</v>
      </c>
      <c r="C37" t="s">
        <v>1113</v>
      </c>
      <c r="D37" t="s">
        <v>1121</v>
      </c>
      <c r="E37">
        <v>66.53</v>
      </c>
      <c r="F37">
        <v>417896</v>
      </c>
      <c r="G37" t="s">
        <v>1132</v>
      </c>
      <c r="H37" t="s">
        <v>1133</v>
      </c>
    </row>
    <row r="38" spans="1:13" x14ac:dyDescent="0.25">
      <c r="A38" t="s">
        <v>41</v>
      </c>
      <c r="B38" t="s">
        <v>144</v>
      </c>
      <c r="C38" t="s">
        <v>1111</v>
      </c>
      <c r="D38" t="s">
        <v>1119</v>
      </c>
      <c r="E38">
        <v>52.25</v>
      </c>
      <c r="F38">
        <v>103310</v>
      </c>
      <c r="G38" t="s">
        <v>1132</v>
      </c>
      <c r="H38" t="s">
        <v>1133</v>
      </c>
      <c r="I38" t="s">
        <v>1148</v>
      </c>
      <c r="J38" t="str">
        <f>MID(J31,13,14)</f>
        <v>R1020 Chennai</v>
      </c>
      <c r="M38" t="str">
        <f>M28&amp;" "&amp;O28&amp;" "&amp;O32</f>
        <v xml:space="preserve">  </v>
      </c>
    </row>
    <row r="39" spans="1:13" x14ac:dyDescent="0.25">
      <c r="A39" t="s">
        <v>42</v>
      </c>
      <c r="B39" t="s">
        <v>145</v>
      </c>
      <c r="C39" t="s">
        <v>1117</v>
      </c>
      <c r="D39" t="s">
        <v>1123</v>
      </c>
      <c r="E39">
        <v>35.020000000000003</v>
      </c>
      <c r="F39">
        <v>929573</v>
      </c>
      <c r="G39" t="s">
        <v>1132</v>
      </c>
      <c r="H39" t="s">
        <v>1133</v>
      </c>
    </row>
    <row r="40" spans="1:13" x14ac:dyDescent="0.25">
      <c r="A40" t="s">
        <v>43</v>
      </c>
      <c r="B40" t="s">
        <v>146</v>
      </c>
      <c r="C40" t="s">
        <v>1116</v>
      </c>
      <c r="D40" t="s">
        <v>1127</v>
      </c>
      <c r="E40">
        <v>44.07</v>
      </c>
      <c r="F40">
        <v>603781</v>
      </c>
      <c r="G40" t="s">
        <v>1129</v>
      </c>
      <c r="H40" t="s">
        <v>1134</v>
      </c>
      <c r="I40" t="s">
        <v>1149</v>
      </c>
    </row>
    <row r="41" spans="1:13" x14ac:dyDescent="0.25">
      <c r="A41" t="s">
        <v>40</v>
      </c>
      <c r="B41" t="s">
        <v>147</v>
      </c>
      <c r="C41" t="s">
        <v>1113</v>
      </c>
      <c r="D41" t="s">
        <v>1126</v>
      </c>
      <c r="E41">
        <v>42.97</v>
      </c>
      <c r="F41">
        <v>706159</v>
      </c>
      <c r="G41" t="s">
        <v>1130</v>
      </c>
      <c r="H41" t="s">
        <v>1134</v>
      </c>
      <c r="J41" t="str">
        <f>UPPER(I19)</f>
        <v>2) CONCATENATE FUNCTION</v>
      </c>
    </row>
    <row r="42" spans="1:13" x14ac:dyDescent="0.25">
      <c r="A42" t="s">
        <v>44</v>
      </c>
      <c r="B42" t="s">
        <v>148</v>
      </c>
      <c r="C42" t="s">
        <v>1113</v>
      </c>
      <c r="D42" t="s">
        <v>1118</v>
      </c>
      <c r="E42">
        <v>68.78</v>
      </c>
      <c r="F42">
        <v>560110</v>
      </c>
      <c r="G42" t="s">
        <v>1128</v>
      </c>
      <c r="H42" t="s">
        <v>1133</v>
      </c>
      <c r="I42" t="s">
        <v>1150</v>
      </c>
      <c r="J42" t="str">
        <f>LOWER(I19)</f>
        <v>2) concatenate function</v>
      </c>
    </row>
    <row r="43" spans="1:13" x14ac:dyDescent="0.25">
      <c r="A43" t="s">
        <v>45</v>
      </c>
      <c r="B43" t="s">
        <v>149</v>
      </c>
      <c r="C43" t="s">
        <v>1110</v>
      </c>
      <c r="D43" t="s">
        <v>1118</v>
      </c>
      <c r="E43">
        <v>62.84</v>
      </c>
      <c r="F43">
        <v>819137</v>
      </c>
      <c r="G43" t="s">
        <v>1130</v>
      </c>
      <c r="H43" t="s">
        <v>1133</v>
      </c>
    </row>
    <row r="44" spans="1:13" x14ac:dyDescent="0.25">
      <c r="A44" t="s">
        <v>46</v>
      </c>
      <c r="B44" t="s">
        <v>150</v>
      </c>
      <c r="C44" t="s">
        <v>1109</v>
      </c>
      <c r="D44" t="s">
        <v>1124</v>
      </c>
      <c r="E44">
        <v>53.64</v>
      </c>
      <c r="F44">
        <v>613329</v>
      </c>
      <c r="G44" t="s">
        <v>1131</v>
      </c>
      <c r="H44" t="s">
        <v>1133</v>
      </c>
      <c r="I44" t="s">
        <v>1151</v>
      </c>
      <c r="J44" t="str">
        <f>SUBSTITUTE(J27,69,70)</f>
        <v>706067vihan ReddyChennai</v>
      </c>
    </row>
    <row r="45" spans="1:13" x14ac:dyDescent="0.25">
      <c r="A45" t="s">
        <v>47</v>
      </c>
      <c r="B45" t="s">
        <v>151</v>
      </c>
      <c r="C45" t="s">
        <v>1116</v>
      </c>
      <c r="D45" t="s">
        <v>1118</v>
      </c>
      <c r="E45">
        <v>43.66</v>
      </c>
      <c r="F45">
        <v>577831</v>
      </c>
      <c r="G45" t="s">
        <v>1128</v>
      </c>
      <c r="H45" t="s">
        <v>1133</v>
      </c>
    </row>
    <row r="46" spans="1:13" x14ac:dyDescent="0.25">
      <c r="A46" t="s">
        <v>48</v>
      </c>
      <c r="B46" t="s">
        <v>152</v>
      </c>
      <c r="C46" t="s">
        <v>1112</v>
      </c>
      <c r="D46" t="s">
        <v>1122</v>
      </c>
      <c r="E46">
        <v>96.48</v>
      </c>
      <c r="F46">
        <v>118937</v>
      </c>
      <c r="G46" t="s">
        <v>1130</v>
      </c>
      <c r="H46" t="s">
        <v>1133</v>
      </c>
      <c r="J46" t="str">
        <f>SUBSTITUTE(J38,2,3)</f>
        <v>R1030 Chennai</v>
      </c>
    </row>
    <row r="47" spans="1:13" x14ac:dyDescent="0.25">
      <c r="A47" t="s">
        <v>49</v>
      </c>
      <c r="B47" t="s">
        <v>153</v>
      </c>
      <c r="C47" t="s">
        <v>1114</v>
      </c>
      <c r="D47" t="s">
        <v>1119</v>
      </c>
      <c r="E47">
        <v>40.1</v>
      </c>
      <c r="F47">
        <v>355845</v>
      </c>
      <c r="G47" t="s">
        <v>1132</v>
      </c>
      <c r="H47" t="s">
        <v>1133</v>
      </c>
    </row>
    <row r="48" spans="1:13" x14ac:dyDescent="0.25">
      <c r="A48" t="s">
        <v>31</v>
      </c>
      <c r="B48" t="s">
        <v>154</v>
      </c>
      <c r="C48" t="s">
        <v>1108</v>
      </c>
      <c r="D48" t="s">
        <v>1120</v>
      </c>
      <c r="E48">
        <v>54.43</v>
      </c>
      <c r="F48">
        <v>705242</v>
      </c>
      <c r="G48" t="s">
        <v>1128</v>
      </c>
      <c r="H48" t="s">
        <v>1133</v>
      </c>
      <c r="I48" t="s">
        <v>1152</v>
      </c>
      <c r="J48">
        <v>52.25</v>
      </c>
      <c r="K48">
        <v>35.020000000000003</v>
      </c>
    </row>
    <row r="49" spans="1:13" x14ac:dyDescent="0.25">
      <c r="A49" t="s">
        <v>50</v>
      </c>
      <c r="B49" t="s">
        <v>155</v>
      </c>
      <c r="C49" t="s">
        <v>1111</v>
      </c>
      <c r="D49" t="s">
        <v>1126</v>
      </c>
      <c r="E49">
        <v>93.47</v>
      </c>
      <c r="F49">
        <v>968710</v>
      </c>
      <c r="G49" t="s">
        <v>1131</v>
      </c>
      <c r="H49" t="s">
        <v>1133</v>
      </c>
    </row>
    <row r="50" spans="1:13" x14ac:dyDescent="0.25">
      <c r="A50" t="s">
        <v>19</v>
      </c>
      <c r="B50" t="s">
        <v>156</v>
      </c>
      <c r="C50" t="s">
        <v>1109</v>
      </c>
      <c r="D50" t="s">
        <v>1122</v>
      </c>
      <c r="E50">
        <v>80.17</v>
      </c>
      <c r="F50">
        <v>610624</v>
      </c>
      <c r="G50" t="s">
        <v>1129</v>
      </c>
      <c r="H50" t="s">
        <v>1133</v>
      </c>
      <c r="J50">
        <f>SUM(J48+K48)</f>
        <v>87.27000000000001</v>
      </c>
    </row>
    <row r="51" spans="1:13" x14ac:dyDescent="0.25">
      <c r="A51" t="s">
        <v>24</v>
      </c>
      <c r="B51" t="s">
        <v>157</v>
      </c>
      <c r="C51" t="s">
        <v>1115</v>
      </c>
      <c r="D51" t="s">
        <v>1124</v>
      </c>
      <c r="E51">
        <v>52.21</v>
      </c>
      <c r="F51">
        <v>259586</v>
      </c>
      <c r="G51" t="s">
        <v>1129</v>
      </c>
      <c r="H51" t="s">
        <v>1133</v>
      </c>
      <c r="I51" t="s">
        <v>1153</v>
      </c>
    </row>
    <row r="52" spans="1:13" x14ac:dyDescent="0.25">
      <c r="A52" t="s">
        <v>51</v>
      </c>
      <c r="B52" t="s">
        <v>158</v>
      </c>
      <c r="C52" t="s">
        <v>1114</v>
      </c>
      <c r="D52" t="s">
        <v>1126</v>
      </c>
      <c r="E52">
        <v>52.26</v>
      </c>
      <c r="F52">
        <v>689916</v>
      </c>
      <c r="G52" t="s">
        <v>1129</v>
      </c>
      <c r="H52" t="s">
        <v>1133</v>
      </c>
      <c r="J52">
        <f>J48-K48</f>
        <v>17.229999999999997</v>
      </c>
    </row>
    <row r="53" spans="1:13" x14ac:dyDescent="0.25">
      <c r="A53" t="s">
        <v>16</v>
      </c>
      <c r="B53" t="s">
        <v>159</v>
      </c>
      <c r="C53" t="s">
        <v>1117</v>
      </c>
      <c r="D53" t="s">
        <v>1127</v>
      </c>
      <c r="E53">
        <v>39.21</v>
      </c>
      <c r="F53">
        <v>305886</v>
      </c>
      <c r="G53" t="s">
        <v>1132</v>
      </c>
      <c r="H53" t="s">
        <v>1134</v>
      </c>
    </row>
    <row r="54" spans="1:13" x14ac:dyDescent="0.25">
      <c r="A54" t="s">
        <v>22</v>
      </c>
      <c r="B54" t="s">
        <v>160</v>
      </c>
      <c r="C54" t="s">
        <v>1115</v>
      </c>
      <c r="D54" t="s">
        <v>1118</v>
      </c>
      <c r="E54">
        <v>72.260000000000005</v>
      </c>
      <c r="F54">
        <v>893745</v>
      </c>
      <c r="G54" t="s">
        <v>1129</v>
      </c>
      <c r="H54" t="s">
        <v>1133</v>
      </c>
      <c r="I54" t="s">
        <v>1154</v>
      </c>
    </row>
    <row r="55" spans="1:13" x14ac:dyDescent="0.25">
      <c r="A55" t="s">
        <v>52</v>
      </c>
      <c r="B55" t="s">
        <v>161</v>
      </c>
      <c r="C55" t="s">
        <v>1116</v>
      </c>
      <c r="D55" t="s">
        <v>1123</v>
      </c>
      <c r="E55">
        <v>73.7</v>
      </c>
      <c r="F55">
        <v>446380</v>
      </c>
      <c r="G55" t="s">
        <v>1131</v>
      </c>
      <c r="H55" t="s">
        <v>1133</v>
      </c>
      <c r="J55">
        <f>J48*K48</f>
        <v>1829.7950000000001</v>
      </c>
    </row>
    <row r="56" spans="1:13" x14ac:dyDescent="0.25">
      <c r="A56" t="s">
        <v>18</v>
      </c>
      <c r="B56" t="s">
        <v>162</v>
      </c>
      <c r="C56" t="s">
        <v>1112</v>
      </c>
      <c r="D56" t="s">
        <v>1120</v>
      </c>
      <c r="E56">
        <v>54.02</v>
      </c>
      <c r="F56">
        <v>404144</v>
      </c>
      <c r="G56" t="s">
        <v>1130</v>
      </c>
      <c r="H56" t="s">
        <v>1134</v>
      </c>
    </row>
    <row r="57" spans="1:13" x14ac:dyDescent="0.25">
      <c r="A57" t="s">
        <v>53</v>
      </c>
      <c r="B57" t="s">
        <v>163</v>
      </c>
      <c r="C57" t="s">
        <v>1111</v>
      </c>
      <c r="D57" t="s">
        <v>1118</v>
      </c>
      <c r="E57">
        <v>43.98</v>
      </c>
      <c r="F57">
        <v>260884</v>
      </c>
      <c r="G57" t="s">
        <v>1129</v>
      </c>
      <c r="H57" t="s">
        <v>1133</v>
      </c>
      <c r="I57" t="s">
        <v>1155</v>
      </c>
    </row>
    <row r="58" spans="1:13" x14ac:dyDescent="0.25">
      <c r="A58" t="s">
        <v>46</v>
      </c>
      <c r="B58" t="s">
        <v>164</v>
      </c>
      <c r="C58" t="s">
        <v>1109</v>
      </c>
      <c r="D58" t="s">
        <v>1124</v>
      </c>
      <c r="E58">
        <v>89.78</v>
      </c>
      <c r="F58">
        <v>216608</v>
      </c>
      <c r="G58" t="s">
        <v>1128</v>
      </c>
      <c r="H58" t="s">
        <v>1133</v>
      </c>
      <c r="J58">
        <f>J48/K48</f>
        <v>1.4920045688178183</v>
      </c>
    </row>
    <row r="59" spans="1:13" x14ac:dyDescent="0.25">
      <c r="A59" t="s">
        <v>45</v>
      </c>
      <c r="B59" t="s">
        <v>165</v>
      </c>
      <c r="C59" t="s">
        <v>1115</v>
      </c>
      <c r="D59" t="s">
        <v>1122</v>
      </c>
      <c r="E59">
        <v>62.8</v>
      </c>
      <c r="F59">
        <v>886120</v>
      </c>
      <c r="G59" t="s">
        <v>1130</v>
      </c>
      <c r="H59" t="s">
        <v>1133</v>
      </c>
    </row>
    <row r="60" spans="1:13" x14ac:dyDescent="0.25">
      <c r="A60" t="s">
        <v>27</v>
      </c>
      <c r="B60" t="s">
        <v>166</v>
      </c>
      <c r="C60" t="s">
        <v>1112</v>
      </c>
      <c r="D60" t="s">
        <v>1125</v>
      </c>
      <c r="E60">
        <v>97.75</v>
      </c>
      <c r="F60">
        <v>120410</v>
      </c>
      <c r="G60" t="s">
        <v>1131</v>
      </c>
      <c r="H60" t="s">
        <v>1133</v>
      </c>
      <c r="I60" s="3" t="s">
        <v>1158</v>
      </c>
      <c r="M60">
        <v>42.97</v>
      </c>
    </row>
    <row r="61" spans="1:13" x14ac:dyDescent="0.25">
      <c r="A61" t="s">
        <v>54</v>
      </c>
      <c r="B61" t="s">
        <v>167</v>
      </c>
      <c r="C61" t="s">
        <v>1108</v>
      </c>
      <c r="D61" t="s">
        <v>1121</v>
      </c>
      <c r="E61">
        <v>43.91</v>
      </c>
      <c r="F61">
        <v>394115</v>
      </c>
      <c r="G61" t="s">
        <v>1130</v>
      </c>
      <c r="H61" t="s">
        <v>1133</v>
      </c>
      <c r="I61" t="s">
        <v>1159</v>
      </c>
      <c r="J61">
        <f>AVERAGE(M60:M69)</f>
        <v>63.653999999999996</v>
      </c>
      <c r="M61">
        <v>68.78</v>
      </c>
    </row>
    <row r="62" spans="1:13" x14ac:dyDescent="0.25">
      <c r="A62" t="s">
        <v>25</v>
      </c>
      <c r="B62" t="s">
        <v>168</v>
      </c>
      <c r="C62" t="s">
        <v>1109</v>
      </c>
      <c r="D62" t="s">
        <v>1119</v>
      </c>
      <c r="E62">
        <v>70.75</v>
      </c>
      <c r="F62">
        <v>167305</v>
      </c>
      <c r="G62" t="s">
        <v>1132</v>
      </c>
      <c r="H62" t="s">
        <v>1133</v>
      </c>
      <c r="M62">
        <v>62.84</v>
      </c>
    </row>
    <row r="63" spans="1:13" x14ac:dyDescent="0.25">
      <c r="A63" t="s">
        <v>55</v>
      </c>
      <c r="B63" t="s">
        <v>169</v>
      </c>
      <c r="C63" t="s">
        <v>1109</v>
      </c>
      <c r="D63" t="s">
        <v>1124</v>
      </c>
      <c r="E63">
        <v>80.28</v>
      </c>
      <c r="F63">
        <v>263214</v>
      </c>
      <c r="G63" t="s">
        <v>1130</v>
      </c>
      <c r="H63" t="s">
        <v>1133</v>
      </c>
      <c r="I63" t="s">
        <v>1156</v>
      </c>
      <c r="J63">
        <f>MIN(M60:M69)</f>
        <v>40.1</v>
      </c>
      <c r="M63">
        <v>53.64</v>
      </c>
    </row>
    <row r="64" spans="1:13" x14ac:dyDescent="0.25">
      <c r="A64" t="s">
        <v>45</v>
      </c>
      <c r="B64" t="s">
        <v>170</v>
      </c>
      <c r="C64" t="s">
        <v>1111</v>
      </c>
      <c r="D64" t="s">
        <v>1127</v>
      </c>
      <c r="E64">
        <v>37.47</v>
      </c>
      <c r="F64">
        <v>218475</v>
      </c>
      <c r="G64" t="s">
        <v>1129</v>
      </c>
      <c r="H64" t="s">
        <v>1133</v>
      </c>
      <c r="M64">
        <v>43.66</v>
      </c>
    </row>
    <row r="65" spans="1:15" x14ac:dyDescent="0.25">
      <c r="A65" t="s">
        <v>42</v>
      </c>
      <c r="B65" t="s">
        <v>171</v>
      </c>
      <c r="C65" t="s">
        <v>1111</v>
      </c>
      <c r="D65" t="s">
        <v>1127</v>
      </c>
      <c r="E65">
        <v>55.49</v>
      </c>
      <c r="F65">
        <v>253132</v>
      </c>
      <c r="G65" t="s">
        <v>1128</v>
      </c>
      <c r="H65" t="s">
        <v>1133</v>
      </c>
      <c r="I65" t="s">
        <v>1157</v>
      </c>
      <c r="J65">
        <f>MAX(M60:M69)</f>
        <v>96.48</v>
      </c>
      <c r="M65">
        <v>96.48</v>
      </c>
    </row>
    <row r="66" spans="1:15" x14ac:dyDescent="0.25">
      <c r="A66" t="s">
        <v>22</v>
      </c>
      <c r="B66" t="s">
        <v>172</v>
      </c>
      <c r="C66" t="s">
        <v>1109</v>
      </c>
      <c r="D66" t="s">
        <v>1125</v>
      </c>
      <c r="E66">
        <v>90.57</v>
      </c>
      <c r="F66">
        <v>855439</v>
      </c>
      <c r="G66" t="s">
        <v>1128</v>
      </c>
      <c r="H66" t="s">
        <v>1133</v>
      </c>
      <c r="M66">
        <v>40.1</v>
      </c>
    </row>
    <row r="67" spans="1:15" x14ac:dyDescent="0.25">
      <c r="A67" t="s">
        <v>26</v>
      </c>
      <c r="B67" t="s">
        <v>173</v>
      </c>
      <c r="C67" t="s">
        <v>1116</v>
      </c>
      <c r="D67" t="s">
        <v>1123</v>
      </c>
      <c r="E67">
        <v>43.12</v>
      </c>
      <c r="F67">
        <v>911123</v>
      </c>
      <c r="G67" t="s">
        <v>1129</v>
      </c>
      <c r="H67" t="s">
        <v>1134</v>
      </c>
      <c r="I67" t="s">
        <v>1160</v>
      </c>
      <c r="M67">
        <v>54.43</v>
      </c>
    </row>
    <row r="68" spans="1:15" x14ac:dyDescent="0.25">
      <c r="A68" t="s">
        <v>56</v>
      </c>
      <c r="B68" t="s">
        <v>174</v>
      </c>
      <c r="C68" t="s">
        <v>1115</v>
      </c>
      <c r="D68" t="s">
        <v>1121</v>
      </c>
      <c r="E68">
        <v>93.47</v>
      </c>
      <c r="F68">
        <v>903123</v>
      </c>
      <c r="G68" t="s">
        <v>1130</v>
      </c>
      <c r="H68" t="s">
        <v>1133</v>
      </c>
      <c r="J68">
        <f>M70/10</f>
        <v>63.653999999999996</v>
      </c>
      <c r="M68">
        <v>93.47</v>
      </c>
    </row>
    <row r="69" spans="1:15" x14ac:dyDescent="0.25">
      <c r="A69" t="s">
        <v>57</v>
      </c>
      <c r="B69" t="s">
        <v>175</v>
      </c>
      <c r="C69" t="s">
        <v>1115</v>
      </c>
      <c r="D69" t="s">
        <v>1123</v>
      </c>
      <c r="E69">
        <v>75.53</v>
      </c>
      <c r="F69">
        <v>437291</v>
      </c>
      <c r="G69" t="s">
        <v>1129</v>
      </c>
      <c r="H69" t="s">
        <v>1134</v>
      </c>
      <c r="M69">
        <v>80.17</v>
      </c>
    </row>
    <row r="70" spans="1:15" x14ac:dyDescent="0.25">
      <c r="A70" t="s">
        <v>38</v>
      </c>
      <c r="B70" t="s">
        <v>176</v>
      </c>
      <c r="C70" t="s">
        <v>1116</v>
      </c>
      <c r="D70" t="s">
        <v>1123</v>
      </c>
      <c r="E70">
        <v>65.64</v>
      </c>
      <c r="F70">
        <v>564985</v>
      </c>
      <c r="G70" t="s">
        <v>1131</v>
      </c>
      <c r="H70" t="s">
        <v>1133</v>
      </c>
      <c r="L70" t="s">
        <v>1161</v>
      </c>
      <c r="M70">
        <f>SUM(M60:M69)</f>
        <v>636.54</v>
      </c>
    </row>
    <row r="71" spans="1:15" x14ac:dyDescent="0.25">
      <c r="A71" t="s">
        <v>9</v>
      </c>
      <c r="B71" t="s">
        <v>177</v>
      </c>
      <c r="C71" t="s">
        <v>1109</v>
      </c>
      <c r="D71" t="s">
        <v>1126</v>
      </c>
      <c r="E71">
        <v>95.34</v>
      </c>
      <c r="F71">
        <v>709323</v>
      </c>
      <c r="G71" t="s">
        <v>1129</v>
      </c>
      <c r="H71" t="s">
        <v>1133</v>
      </c>
    </row>
    <row r="72" spans="1:15" x14ac:dyDescent="0.25">
      <c r="A72" t="s">
        <v>54</v>
      </c>
      <c r="B72" t="s">
        <v>178</v>
      </c>
      <c r="C72" t="s">
        <v>1109</v>
      </c>
      <c r="D72" t="s">
        <v>1123</v>
      </c>
      <c r="E72">
        <v>43.31</v>
      </c>
      <c r="F72">
        <v>365459</v>
      </c>
      <c r="G72" t="s">
        <v>1131</v>
      </c>
      <c r="H72" t="s">
        <v>1133</v>
      </c>
      <c r="K72" t="s">
        <v>1163</v>
      </c>
    </row>
    <row r="73" spans="1:15" x14ac:dyDescent="0.25">
      <c r="A73" t="s">
        <v>58</v>
      </c>
      <c r="B73" t="s">
        <v>179</v>
      </c>
      <c r="C73" t="s">
        <v>1109</v>
      </c>
      <c r="D73" t="s">
        <v>1127</v>
      </c>
      <c r="E73">
        <v>99.67</v>
      </c>
      <c r="F73">
        <v>584561</v>
      </c>
      <c r="G73" t="s">
        <v>1130</v>
      </c>
      <c r="H73" t="s">
        <v>1133</v>
      </c>
      <c r="I73" s="3" t="s">
        <v>1162</v>
      </c>
      <c r="K73">
        <f>_xlfn.RANK.AVG(M73,M$73:M$84,0)</f>
        <v>3</v>
      </c>
      <c r="M73">
        <v>689916</v>
      </c>
      <c r="N73" t="s">
        <v>1129</v>
      </c>
      <c r="O73" t="s">
        <v>1133</v>
      </c>
    </row>
    <row r="74" spans="1:15" x14ac:dyDescent="0.25">
      <c r="A74" t="s">
        <v>59</v>
      </c>
      <c r="B74" t="s">
        <v>180</v>
      </c>
      <c r="C74" t="s">
        <v>1117</v>
      </c>
      <c r="D74" t="s">
        <v>1120</v>
      </c>
      <c r="E74">
        <v>63.15</v>
      </c>
      <c r="F74">
        <v>955011</v>
      </c>
      <c r="G74" t="s">
        <v>1130</v>
      </c>
      <c r="H74" t="s">
        <v>1133</v>
      </c>
      <c r="K74">
        <f t="shared" ref="K74:K84" si="0">_xlfn.RANK.AVG(M74,M$73:M$84,0)</f>
        <v>7</v>
      </c>
      <c r="M74">
        <v>305886</v>
      </c>
      <c r="N74" t="s">
        <v>1132</v>
      </c>
      <c r="O74" t="s">
        <v>1134</v>
      </c>
    </row>
    <row r="75" spans="1:15" x14ac:dyDescent="0.25">
      <c r="A75" t="s">
        <v>60</v>
      </c>
      <c r="B75" t="s">
        <v>181</v>
      </c>
      <c r="C75" t="s">
        <v>1113</v>
      </c>
      <c r="D75" t="s">
        <v>1119</v>
      </c>
      <c r="E75">
        <v>60.05</v>
      </c>
      <c r="F75">
        <v>266244</v>
      </c>
      <c r="G75" t="s">
        <v>1132</v>
      </c>
      <c r="H75" t="s">
        <v>1133</v>
      </c>
      <c r="K75">
        <f t="shared" si="0"/>
        <v>1</v>
      </c>
      <c r="M75">
        <v>893745</v>
      </c>
      <c r="N75" t="s">
        <v>1129</v>
      </c>
      <c r="O75" t="s">
        <v>1133</v>
      </c>
    </row>
    <row r="76" spans="1:15" x14ac:dyDescent="0.25">
      <c r="A76" t="s">
        <v>26</v>
      </c>
      <c r="B76" t="s">
        <v>182</v>
      </c>
      <c r="C76" t="s">
        <v>1115</v>
      </c>
      <c r="D76" t="s">
        <v>1127</v>
      </c>
      <c r="E76">
        <v>49.28</v>
      </c>
      <c r="F76">
        <v>129405</v>
      </c>
      <c r="G76" t="s">
        <v>1130</v>
      </c>
      <c r="H76" t="s">
        <v>1133</v>
      </c>
      <c r="K76">
        <f t="shared" si="0"/>
        <v>4</v>
      </c>
      <c r="M76">
        <v>446380</v>
      </c>
      <c r="N76" t="s">
        <v>1131</v>
      </c>
      <c r="O76" t="s">
        <v>1133</v>
      </c>
    </row>
    <row r="77" spans="1:15" x14ac:dyDescent="0.25">
      <c r="A77" t="s">
        <v>35</v>
      </c>
      <c r="B77" t="s">
        <v>183</v>
      </c>
      <c r="C77" t="s">
        <v>1110</v>
      </c>
      <c r="D77" t="s">
        <v>1125</v>
      </c>
      <c r="E77">
        <v>81.02</v>
      </c>
      <c r="F77">
        <v>794301</v>
      </c>
      <c r="G77" t="s">
        <v>1128</v>
      </c>
      <c r="H77" t="s">
        <v>1133</v>
      </c>
      <c r="K77">
        <f t="shared" si="0"/>
        <v>5</v>
      </c>
      <c r="M77">
        <v>404144</v>
      </c>
      <c r="N77" t="s">
        <v>1130</v>
      </c>
      <c r="O77" t="s">
        <v>1134</v>
      </c>
    </row>
    <row r="78" spans="1:15" x14ac:dyDescent="0.25">
      <c r="A78" t="s">
        <v>20</v>
      </c>
      <c r="B78" t="s">
        <v>184</v>
      </c>
      <c r="C78" t="s">
        <v>1112</v>
      </c>
      <c r="D78" t="s">
        <v>1120</v>
      </c>
      <c r="E78">
        <v>81.56</v>
      </c>
      <c r="F78">
        <v>498731</v>
      </c>
      <c r="G78" t="s">
        <v>1131</v>
      </c>
      <c r="H78" t="s">
        <v>1133</v>
      </c>
      <c r="K78">
        <f t="shared" si="0"/>
        <v>9</v>
      </c>
      <c r="M78">
        <v>260884</v>
      </c>
      <c r="N78" t="s">
        <v>1129</v>
      </c>
      <c r="O78" t="s">
        <v>1133</v>
      </c>
    </row>
    <row r="79" spans="1:15" x14ac:dyDescent="0.25">
      <c r="A79" t="s">
        <v>36</v>
      </c>
      <c r="B79" t="s">
        <v>185</v>
      </c>
      <c r="C79" t="s">
        <v>1116</v>
      </c>
      <c r="D79" t="s">
        <v>1121</v>
      </c>
      <c r="E79">
        <v>35.54</v>
      </c>
      <c r="F79">
        <v>192196</v>
      </c>
      <c r="G79" t="s">
        <v>1128</v>
      </c>
      <c r="H79" t="s">
        <v>1133</v>
      </c>
      <c r="K79">
        <f t="shared" si="0"/>
        <v>10</v>
      </c>
      <c r="M79">
        <v>216608</v>
      </c>
      <c r="N79" t="s">
        <v>1128</v>
      </c>
      <c r="O79" t="s">
        <v>1133</v>
      </c>
    </row>
    <row r="80" spans="1:15" x14ac:dyDescent="0.25">
      <c r="A80" t="s">
        <v>61</v>
      </c>
      <c r="B80" t="s">
        <v>186</v>
      </c>
      <c r="C80" t="s">
        <v>1114</v>
      </c>
      <c r="D80" t="s">
        <v>1127</v>
      </c>
      <c r="E80">
        <v>83.3</v>
      </c>
      <c r="F80">
        <v>986631</v>
      </c>
      <c r="G80" t="s">
        <v>1131</v>
      </c>
      <c r="H80" t="s">
        <v>1133</v>
      </c>
      <c r="K80">
        <f t="shared" si="0"/>
        <v>2</v>
      </c>
      <c r="M80">
        <v>886120</v>
      </c>
      <c r="N80" t="s">
        <v>1130</v>
      </c>
      <c r="O80" t="s">
        <v>1133</v>
      </c>
    </row>
    <row r="81" spans="1:15" x14ac:dyDescent="0.25">
      <c r="A81" t="s">
        <v>14</v>
      </c>
      <c r="B81" t="s">
        <v>187</v>
      </c>
      <c r="C81" t="s">
        <v>1108</v>
      </c>
      <c r="D81" t="s">
        <v>1121</v>
      </c>
      <c r="E81">
        <v>85.44</v>
      </c>
      <c r="F81">
        <v>491372</v>
      </c>
      <c r="G81" t="s">
        <v>1130</v>
      </c>
      <c r="H81" t="s">
        <v>1133</v>
      </c>
      <c r="K81">
        <f t="shared" si="0"/>
        <v>12</v>
      </c>
      <c r="M81">
        <v>120410</v>
      </c>
      <c r="N81" t="s">
        <v>1131</v>
      </c>
      <c r="O81" t="s">
        <v>1133</v>
      </c>
    </row>
    <row r="82" spans="1:15" x14ac:dyDescent="0.25">
      <c r="A82" t="s">
        <v>41</v>
      </c>
      <c r="B82" t="s">
        <v>188</v>
      </c>
      <c r="C82" t="s">
        <v>1109</v>
      </c>
      <c r="D82" t="s">
        <v>1122</v>
      </c>
      <c r="E82">
        <v>63.59</v>
      </c>
      <c r="F82">
        <v>667799</v>
      </c>
      <c r="G82" t="s">
        <v>1130</v>
      </c>
      <c r="H82" t="s">
        <v>1134</v>
      </c>
      <c r="K82">
        <f t="shared" si="0"/>
        <v>6</v>
      </c>
      <c r="M82">
        <v>394115</v>
      </c>
      <c r="N82" t="s">
        <v>1130</v>
      </c>
      <c r="O82" t="s">
        <v>1133</v>
      </c>
    </row>
    <row r="83" spans="1:15" x14ac:dyDescent="0.25">
      <c r="A83" t="s">
        <v>59</v>
      </c>
      <c r="B83" t="s">
        <v>189</v>
      </c>
      <c r="C83" t="s">
        <v>1115</v>
      </c>
      <c r="D83" t="s">
        <v>1122</v>
      </c>
      <c r="E83">
        <v>50.24</v>
      </c>
      <c r="F83">
        <v>902387</v>
      </c>
      <c r="G83" t="s">
        <v>1132</v>
      </c>
      <c r="H83" t="s">
        <v>1134</v>
      </c>
      <c r="K83">
        <f t="shared" si="0"/>
        <v>11</v>
      </c>
      <c r="M83">
        <v>167305</v>
      </c>
      <c r="N83" t="s">
        <v>1132</v>
      </c>
      <c r="O83" t="s">
        <v>1133</v>
      </c>
    </row>
    <row r="84" spans="1:15" x14ac:dyDescent="0.25">
      <c r="A84" t="s">
        <v>62</v>
      </c>
      <c r="B84" t="s">
        <v>190</v>
      </c>
      <c r="C84" t="s">
        <v>1108</v>
      </c>
      <c r="D84" t="s">
        <v>1122</v>
      </c>
      <c r="E84">
        <v>84.74</v>
      </c>
      <c r="F84">
        <v>198339</v>
      </c>
      <c r="G84" t="s">
        <v>1129</v>
      </c>
      <c r="H84" t="s">
        <v>1133</v>
      </c>
      <c r="K84">
        <f t="shared" si="0"/>
        <v>8</v>
      </c>
      <c r="M84">
        <v>263214</v>
      </c>
      <c r="N84" t="s">
        <v>1130</v>
      </c>
      <c r="O84" t="s">
        <v>1133</v>
      </c>
    </row>
    <row r="85" spans="1:15" x14ac:dyDescent="0.25">
      <c r="A85" t="s">
        <v>63</v>
      </c>
      <c r="B85" t="s">
        <v>191</v>
      </c>
      <c r="C85" t="s">
        <v>1115</v>
      </c>
      <c r="D85" t="s">
        <v>1118</v>
      </c>
      <c r="E85">
        <v>93.14</v>
      </c>
      <c r="F85">
        <v>749511</v>
      </c>
      <c r="G85" t="s">
        <v>1128</v>
      </c>
      <c r="H85" t="s">
        <v>1133</v>
      </c>
    </row>
    <row r="86" spans="1:15" x14ac:dyDescent="0.25">
      <c r="A86" t="s">
        <v>64</v>
      </c>
      <c r="B86" t="s">
        <v>192</v>
      </c>
      <c r="C86" t="s">
        <v>1113</v>
      </c>
      <c r="D86" t="s">
        <v>1118</v>
      </c>
      <c r="E86">
        <v>40.26</v>
      </c>
      <c r="F86">
        <v>454694</v>
      </c>
      <c r="G86" t="s">
        <v>1131</v>
      </c>
      <c r="H86" t="s">
        <v>1133</v>
      </c>
      <c r="I86" s="3" t="s">
        <v>1164</v>
      </c>
    </row>
    <row r="87" spans="1:15" x14ac:dyDescent="0.25">
      <c r="A87" t="s">
        <v>50</v>
      </c>
      <c r="B87" t="s">
        <v>193</v>
      </c>
      <c r="C87" t="s">
        <v>1109</v>
      </c>
      <c r="D87" t="s">
        <v>1127</v>
      </c>
      <c r="E87">
        <v>89.54</v>
      </c>
      <c r="F87">
        <v>704037</v>
      </c>
      <c r="G87" t="s">
        <v>1128</v>
      </c>
      <c r="H87" t="s">
        <v>1133</v>
      </c>
      <c r="K87">
        <f>_xlfn.RANK.EQ(M73,M$73:M$84,1)</f>
        <v>10</v>
      </c>
    </row>
    <row r="88" spans="1:15" x14ac:dyDescent="0.25">
      <c r="A88" t="s">
        <v>39</v>
      </c>
      <c r="B88" t="s">
        <v>194</v>
      </c>
      <c r="C88" t="s">
        <v>1116</v>
      </c>
      <c r="D88" t="s">
        <v>1119</v>
      </c>
      <c r="E88">
        <v>60</v>
      </c>
      <c r="F88">
        <v>243371</v>
      </c>
      <c r="G88" t="s">
        <v>1132</v>
      </c>
      <c r="H88" t="s">
        <v>1133</v>
      </c>
      <c r="K88">
        <f t="shared" ref="K88:K98" si="1">_xlfn.RANK.EQ(M74,M$73:M$84,1)</f>
        <v>6</v>
      </c>
    </row>
    <row r="89" spans="1:15" x14ac:dyDescent="0.25">
      <c r="A89" t="s">
        <v>65</v>
      </c>
      <c r="B89" t="s">
        <v>195</v>
      </c>
      <c r="C89" t="s">
        <v>1109</v>
      </c>
      <c r="D89" t="s">
        <v>1122</v>
      </c>
      <c r="E89">
        <v>67.83</v>
      </c>
      <c r="F89">
        <v>670945</v>
      </c>
      <c r="G89" t="s">
        <v>1130</v>
      </c>
      <c r="H89" t="s">
        <v>1133</v>
      </c>
      <c r="K89">
        <f t="shared" si="1"/>
        <v>12</v>
      </c>
    </row>
    <row r="90" spans="1:15" x14ac:dyDescent="0.25">
      <c r="A90" t="s">
        <v>66</v>
      </c>
      <c r="B90" t="s">
        <v>196</v>
      </c>
      <c r="C90" t="s">
        <v>1111</v>
      </c>
      <c r="D90" t="s">
        <v>1127</v>
      </c>
      <c r="E90">
        <v>83.55</v>
      </c>
      <c r="F90">
        <v>854042</v>
      </c>
      <c r="G90" t="s">
        <v>1130</v>
      </c>
      <c r="H90" t="s">
        <v>1133</v>
      </c>
      <c r="K90">
        <f t="shared" si="1"/>
        <v>9</v>
      </c>
    </row>
    <row r="91" spans="1:15" x14ac:dyDescent="0.25">
      <c r="A91" t="s">
        <v>19</v>
      </c>
      <c r="B91" t="s">
        <v>197</v>
      </c>
      <c r="C91" t="s">
        <v>1117</v>
      </c>
      <c r="D91" t="s">
        <v>1127</v>
      </c>
      <c r="E91">
        <v>57.04</v>
      </c>
      <c r="F91">
        <v>459741</v>
      </c>
      <c r="G91" t="s">
        <v>1131</v>
      </c>
      <c r="H91" t="s">
        <v>1133</v>
      </c>
      <c r="K91">
        <f t="shared" si="1"/>
        <v>8</v>
      </c>
    </row>
    <row r="92" spans="1:15" x14ac:dyDescent="0.25">
      <c r="A92" t="s">
        <v>19</v>
      </c>
      <c r="B92" t="s">
        <v>198</v>
      </c>
      <c r="C92" t="s">
        <v>1115</v>
      </c>
      <c r="D92" t="s">
        <v>1123</v>
      </c>
      <c r="E92">
        <v>46.78</v>
      </c>
      <c r="F92">
        <v>997079</v>
      </c>
      <c r="G92" t="s">
        <v>1130</v>
      </c>
      <c r="H92" t="s">
        <v>1134</v>
      </c>
      <c r="K92">
        <f t="shared" si="1"/>
        <v>4</v>
      </c>
    </row>
    <row r="93" spans="1:15" x14ac:dyDescent="0.25">
      <c r="A93" t="s">
        <v>67</v>
      </c>
      <c r="B93" t="s">
        <v>199</v>
      </c>
      <c r="C93" t="s">
        <v>1112</v>
      </c>
      <c r="D93" t="s">
        <v>1125</v>
      </c>
      <c r="E93">
        <v>86.94</v>
      </c>
      <c r="F93">
        <v>316787</v>
      </c>
      <c r="G93" t="s">
        <v>1131</v>
      </c>
      <c r="H93" t="s">
        <v>1133</v>
      </c>
      <c r="K93">
        <f t="shared" si="1"/>
        <v>3</v>
      </c>
    </row>
    <row r="94" spans="1:15" x14ac:dyDescent="0.25">
      <c r="A94" t="s">
        <v>10</v>
      </c>
      <c r="B94" t="s">
        <v>200</v>
      </c>
      <c r="C94" t="s">
        <v>1117</v>
      </c>
      <c r="D94" t="s">
        <v>1123</v>
      </c>
      <c r="E94">
        <v>37.11</v>
      </c>
      <c r="F94">
        <v>821804</v>
      </c>
      <c r="G94" t="s">
        <v>1131</v>
      </c>
      <c r="H94" t="s">
        <v>1133</v>
      </c>
      <c r="K94">
        <f t="shared" si="1"/>
        <v>11</v>
      </c>
    </row>
    <row r="95" spans="1:15" x14ac:dyDescent="0.25">
      <c r="A95" t="s">
        <v>68</v>
      </c>
      <c r="B95" t="s">
        <v>201</v>
      </c>
      <c r="C95" t="s">
        <v>1114</v>
      </c>
      <c r="D95" t="s">
        <v>1120</v>
      </c>
      <c r="E95">
        <v>58.88</v>
      </c>
      <c r="F95">
        <v>187663</v>
      </c>
      <c r="G95" t="s">
        <v>1128</v>
      </c>
      <c r="H95" t="s">
        <v>1134</v>
      </c>
      <c r="K95">
        <f t="shared" si="1"/>
        <v>1</v>
      </c>
    </row>
    <row r="96" spans="1:15" x14ac:dyDescent="0.25">
      <c r="A96" t="s">
        <v>25</v>
      </c>
      <c r="B96" t="s">
        <v>202</v>
      </c>
      <c r="C96" t="s">
        <v>1110</v>
      </c>
      <c r="D96" t="s">
        <v>1127</v>
      </c>
      <c r="E96">
        <v>44.83</v>
      </c>
      <c r="F96">
        <v>899967</v>
      </c>
      <c r="G96" t="s">
        <v>1131</v>
      </c>
      <c r="H96" t="s">
        <v>1133</v>
      </c>
      <c r="K96">
        <f t="shared" si="1"/>
        <v>7</v>
      </c>
    </row>
    <row r="97" spans="1:11" x14ac:dyDescent="0.25">
      <c r="A97" t="s">
        <v>27</v>
      </c>
      <c r="B97" t="s">
        <v>203</v>
      </c>
      <c r="C97" t="s">
        <v>1117</v>
      </c>
      <c r="D97" t="s">
        <v>1119</v>
      </c>
      <c r="E97">
        <v>76.540000000000006</v>
      </c>
      <c r="F97">
        <v>235818</v>
      </c>
      <c r="G97" t="s">
        <v>1132</v>
      </c>
      <c r="H97" t="s">
        <v>1133</v>
      </c>
      <c r="K97">
        <f t="shared" si="1"/>
        <v>2</v>
      </c>
    </row>
    <row r="98" spans="1:11" x14ac:dyDescent="0.25">
      <c r="A98" t="s">
        <v>69</v>
      </c>
      <c r="B98" t="s">
        <v>204</v>
      </c>
      <c r="C98" t="s">
        <v>1111</v>
      </c>
      <c r="D98" t="s">
        <v>1123</v>
      </c>
      <c r="E98">
        <v>73.11</v>
      </c>
      <c r="F98">
        <v>355846</v>
      </c>
      <c r="G98" t="s">
        <v>1132</v>
      </c>
      <c r="H98" t="s">
        <v>1134</v>
      </c>
      <c r="K98">
        <f t="shared" si="1"/>
        <v>5</v>
      </c>
    </row>
    <row r="99" spans="1:11" x14ac:dyDescent="0.25">
      <c r="A99" t="s">
        <v>47</v>
      </c>
      <c r="B99" t="s">
        <v>205</v>
      </c>
      <c r="C99" t="s">
        <v>1110</v>
      </c>
      <c r="D99" t="s">
        <v>1125</v>
      </c>
      <c r="E99">
        <v>35.58</v>
      </c>
      <c r="F99">
        <v>681445</v>
      </c>
      <c r="G99" t="s">
        <v>1130</v>
      </c>
      <c r="H99" t="s">
        <v>1134</v>
      </c>
    </row>
    <row r="100" spans="1:11" x14ac:dyDescent="0.25">
      <c r="A100" t="s">
        <v>58</v>
      </c>
      <c r="B100" t="s">
        <v>206</v>
      </c>
      <c r="C100" t="s">
        <v>1117</v>
      </c>
      <c r="D100" t="s">
        <v>1119</v>
      </c>
      <c r="E100">
        <v>40.06</v>
      </c>
      <c r="F100">
        <v>555584</v>
      </c>
      <c r="G100" t="s">
        <v>1130</v>
      </c>
      <c r="H100" t="s">
        <v>1133</v>
      </c>
    </row>
    <row r="101" spans="1:11" x14ac:dyDescent="0.25">
      <c r="A101" t="s">
        <v>68</v>
      </c>
      <c r="B101" t="s">
        <v>207</v>
      </c>
      <c r="C101" t="s">
        <v>1116</v>
      </c>
      <c r="D101" t="s">
        <v>1119</v>
      </c>
      <c r="E101">
        <v>39.06</v>
      </c>
      <c r="F101">
        <v>858447</v>
      </c>
      <c r="G101" t="s">
        <v>1132</v>
      </c>
      <c r="H101" t="s">
        <v>1134</v>
      </c>
    </row>
    <row r="102" spans="1:11" x14ac:dyDescent="0.25">
      <c r="A102" t="s">
        <v>70</v>
      </c>
      <c r="B102" t="s">
        <v>208</v>
      </c>
      <c r="C102" t="s">
        <v>1113</v>
      </c>
      <c r="D102" t="s">
        <v>1118</v>
      </c>
      <c r="E102">
        <v>70.59</v>
      </c>
      <c r="F102">
        <v>345053</v>
      </c>
      <c r="G102" t="s">
        <v>1130</v>
      </c>
      <c r="H102" t="s">
        <v>1134</v>
      </c>
    </row>
    <row r="103" spans="1:11" x14ac:dyDescent="0.25">
      <c r="A103" t="s">
        <v>71</v>
      </c>
      <c r="B103" t="s">
        <v>209</v>
      </c>
      <c r="C103" t="s">
        <v>1109</v>
      </c>
      <c r="D103" t="s">
        <v>1125</v>
      </c>
      <c r="E103">
        <v>66.59</v>
      </c>
      <c r="F103">
        <v>556119</v>
      </c>
      <c r="G103" t="s">
        <v>1131</v>
      </c>
      <c r="H103" t="s">
        <v>1133</v>
      </c>
    </row>
    <row r="104" spans="1:11" x14ac:dyDescent="0.25">
      <c r="A104" t="s">
        <v>67</v>
      </c>
      <c r="B104" t="s">
        <v>210</v>
      </c>
      <c r="C104" t="s">
        <v>1112</v>
      </c>
      <c r="D104" t="s">
        <v>1124</v>
      </c>
      <c r="E104">
        <v>42.47</v>
      </c>
      <c r="F104">
        <v>862916</v>
      </c>
      <c r="G104" t="s">
        <v>1129</v>
      </c>
      <c r="H104" t="s">
        <v>1133</v>
      </c>
    </row>
    <row r="105" spans="1:11" x14ac:dyDescent="0.25">
      <c r="A105" t="s">
        <v>59</v>
      </c>
      <c r="B105" t="s">
        <v>211</v>
      </c>
      <c r="C105" t="s">
        <v>1109</v>
      </c>
      <c r="D105" t="s">
        <v>1123</v>
      </c>
      <c r="E105">
        <v>73.099999999999994</v>
      </c>
      <c r="F105">
        <v>674978</v>
      </c>
      <c r="G105" t="s">
        <v>1131</v>
      </c>
      <c r="H105" t="s">
        <v>1133</v>
      </c>
    </row>
    <row r="106" spans="1:11" x14ac:dyDescent="0.25">
      <c r="A106" t="s">
        <v>50</v>
      </c>
      <c r="B106" t="s">
        <v>212</v>
      </c>
      <c r="C106" t="s">
        <v>1115</v>
      </c>
      <c r="D106" t="s">
        <v>1122</v>
      </c>
      <c r="E106">
        <v>65.7</v>
      </c>
      <c r="F106">
        <v>585823</v>
      </c>
      <c r="G106" t="s">
        <v>1130</v>
      </c>
      <c r="H106" t="s">
        <v>1133</v>
      </c>
    </row>
    <row r="107" spans="1:11" x14ac:dyDescent="0.25">
      <c r="A107" t="s">
        <v>20</v>
      </c>
      <c r="B107" t="s">
        <v>213</v>
      </c>
      <c r="C107" t="s">
        <v>1117</v>
      </c>
      <c r="D107" t="s">
        <v>1126</v>
      </c>
      <c r="E107">
        <v>63.53</v>
      </c>
      <c r="F107">
        <v>405299</v>
      </c>
      <c r="G107" t="s">
        <v>1128</v>
      </c>
      <c r="H107" t="s">
        <v>1133</v>
      </c>
    </row>
    <row r="108" spans="1:11" x14ac:dyDescent="0.25">
      <c r="A108" t="s">
        <v>8</v>
      </c>
      <c r="B108" t="s">
        <v>214</v>
      </c>
      <c r="C108" t="s">
        <v>1116</v>
      </c>
      <c r="D108" t="s">
        <v>1121</v>
      </c>
      <c r="E108">
        <v>61.82</v>
      </c>
      <c r="F108">
        <v>192950</v>
      </c>
      <c r="G108" t="s">
        <v>1128</v>
      </c>
      <c r="H108" t="s">
        <v>1134</v>
      </c>
    </row>
    <row r="109" spans="1:11" x14ac:dyDescent="0.25">
      <c r="A109" t="s">
        <v>32</v>
      </c>
      <c r="B109" t="s">
        <v>215</v>
      </c>
      <c r="C109" t="s">
        <v>1113</v>
      </c>
      <c r="D109" t="s">
        <v>1122</v>
      </c>
      <c r="E109">
        <v>39.81</v>
      </c>
      <c r="F109">
        <v>775482</v>
      </c>
      <c r="G109" t="s">
        <v>1129</v>
      </c>
      <c r="H109" t="s">
        <v>1133</v>
      </c>
    </row>
    <row r="110" spans="1:11" x14ac:dyDescent="0.25">
      <c r="A110" t="s">
        <v>72</v>
      </c>
      <c r="B110" t="s">
        <v>216</v>
      </c>
      <c r="C110" t="s">
        <v>1108</v>
      </c>
      <c r="D110" t="s">
        <v>1122</v>
      </c>
      <c r="E110">
        <v>75.03</v>
      </c>
      <c r="F110">
        <v>292138</v>
      </c>
      <c r="G110" t="s">
        <v>1130</v>
      </c>
      <c r="H110" t="s">
        <v>1134</v>
      </c>
    </row>
    <row r="111" spans="1:11" x14ac:dyDescent="0.25">
      <c r="A111" t="s">
        <v>31</v>
      </c>
      <c r="B111" t="s">
        <v>217</v>
      </c>
      <c r="C111" t="s">
        <v>1109</v>
      </c>
      <c r="D111" t="s">
        <v>1121</v>
      </c>
      <c r="E111">
        <v>77.98</v>
      </c>
      <c r="F111">
        <v>232735</v>
      </c>
      <c r="G111" t="s">
        <v>1130</v>
      </c>
      <c r="H111" t="s">
        <v>1133</v>
      </c>
    </row>
    <row r="112" spans="1:11" x14ac:dyDescent="0.25">
      <c r="A112" t="s">
        <v>36</v>
      </c>
      <c r="B112" t="s">
        <v>218</v>
      </c>
      <c r="C112" t="s">
        <v>1117</v>
      </c>
      <c r="D112" t="s">
        <v>1127</v>
      </c>
      <c r="E112">
        <v>95.81</v>
      </c>
      <c r="F112">
        <v>624076</v>
      </c>
      <c r="G112" t="s">
        <v>1129</v>
      </c>
      <c r="H112" t="s">
        <v>1133</v>
      </c>
    </row>
    <row r="113" spans="1:8" x14ac:dyDescent="0.25">
      <c r="A113" t="s">
        <v>25</v>
      </c>
      <c r="B113" t="s">
        <v>219</v>
      </c>
      <c r="C113" t="s">
        <v>1108</v>
      </c>
      <c r="D113" t="s">
        <v>1121</v>
      </c>
      <c r="E113">
        <v>48.85</v>
      </c>
      <c r="F113">
        <v>720171</v>
      </c>
      <c r="G113" t="s">
        <v>1129</v>
      </c>
      <c r="H113" t="s">
        <v>1133</v>
      </c>
    </row>
    <row r="114" spans="1:8" x14ac:dyDescent="0.25">
      <c r="A114" t="s">
        <v>17</v>
      </c>
      <c r="B114" t="s">
        <v>220</v>
      </c>
      <c r="C114" t="s">
        <v>1115</v>
      </c>
      <c r="D114" t="s">
        <v>1120</v>
      </c>
      <c r="E114">
        <v>38.96</v>
      </c>
      <c r="F114">
        <v>527494</v>
      </c>
      <c r="G114" t="s">
        <v>1132</v>
      </c>
      <c r="H114" t="s">
        <v>1133</v>
      </c>
    </row>
    <row r="115" spans="1:8" x14ac:dyDescent="0.25">
      <c r="A115" t="s">
        <v>73</v>
      </c>
      <c r="B115" t="s">
        <v>221</v>
      </c>
      <c r="C115" t="s">
        <v>1113</v>
      </c>
      <c r="D115" t="s">
        <v>1121</v>
      </c>
      <c r="E115">
        <v>63.6</v>
      </c>
      <c r="F115">
        <v>707521</v>
      </c>
      <c r="G115" t="s">
        <v>1132</v>
      </c>
      <c r="H115" t="s">
        <v>1134</v>
      </c>
    </row>
    <row r="116" spans="1:8" x14ac:dyDescent="0.25">
      <c r="A116" t="s">
        <v>55</v>
      </c>
      <c r="B116" t="s">
        <v>222</v>
      </c>
      <c r="C116" t="s">
        <v>1109</v>
      </c>
      <c r="D116" t="s">
        <v>1126</v>
      </c>
      <c r="E116">
        <v>62.95</v>
      </c>
      <c r="F116">
        <v>784159</v>
      </c>
      <c r="G116" t="s">
        <v>1128</v>
      </c>
      <c r="H116" t="s">
        <v>1133</v>
      </c>
    </row>
    <row r="117" spans="1:8" x14ac:dyDescent="0.25">
      <c r="A117" t="s">
        <v>21</v>
      </c>
      <c r="B117" t="s">
        <v>223</v>
      </c>
      <c r="C117" t="s">
        <v>1111</v>
      </c>
      <c r="D117" t="s">
        <v>1118</v>
      </c>
      <c r="E117">
        <v>76.989999999999995</v>
      </c>
      <c r="F117">
        <v>370674</v>
      </c>
      <c r="G117" t="s">
        <v>1129</v>
      </c>
      <c r="H117" t="s">
        <v>1133</v>
      </c>
    </row>
    <row r="118" spans="1:8" x14ac:dyDescent="0.25">
      <c r="A118" t="s">
        <v>51</v>
      </c>
      <c r="B118" t="s">
        <v>224</v>
      </c>
      <c r="C118" t="s">
        <v>1111</v>
      </c>
      <c r="D118" t="s">
        <v>1122</v>
      </c>
      <c r="E118">
        <v>91.65</v>
      </c>
      <c r="F118">
        <v>693851</v>
      </c>
      <c r="G118" t="s">
        <v>1128</v>
      </c>
      <c r="H118" t="s">
        <v>1133</v>
      </c>
    </row>
    <row r="119" spans="1:8" x14ac:dyDescent="0.25">
      <c r="A119" t="s">
        <v>66</v>
      </c>
      <c r="B119" t="s">
        <v>225</v>
      </c>
      <c r="C119" t="s">
        <v>1108</v>
      </c>
      <c r="D119" t="s">
        <v>1126</v>
      </c>
      <c r="E119">
        <v>75.72</v>
      </c>
      <c r="F119">
        <v>989706</v>
      </c>
      <c r="G119" t="s">
        <v>1129</v>
      </c>
      <c r="H119" t="s">
        <v>1134</v>
      </c>
    </row>
    <row r="120" spans="1:8" x14ac:dyDescent="0.25">
      <c r="A120" t="s">
        <v>32</v>
      </c>
      <c r="B120" t="s">
        <v>226</v>
      </c>
      <c r="C120" t="s">
        <v>1116</v>
      </c>
      <c r="D120" t="s">
        <v>1119</v>
      </c>
      <c r="E120">
        <v>39.86</v>
      </c>
      <c r="F120">
        <v>800854</v>
      </c>
      <c r="G120" t="s">
        <v>1132</v>
      </c>
      <c r="H120" t="s">
        <v>1134</v>
      </c>
    </row>
    <row r="121" spans="1:8" x14ac:dyDescent="0.25">
      <c r="A121" t="s">
        <v>74</v>
      </c>
      <c r="B121" t="s">
        <v>227</v>
      </c>
      <c r="C121" t="s">
        <v>1114</v>
      </c>
      <c r="D121" t="s">
        <v>1122</v>
      </c>
      <c r="E121">
        <v>87.22</v>
      </c>
      <c r="F121">
        <v>479638</v>
      </c>
      <c r="G121" t="s">
        <v>1128</v>
      </c>
      <c r="H121" t="s">
        <v>1133</v>
      </c>
    </row>
    <row r="122" spans="1:8" x14ac:dyDescent="0.25">
      <c r="A122" t="s">
        <v>45</v>
      </c>
      <c r="B122" t="s">
        <v>228</v>
      </c>
      <c r="C122" t="s">
        <v>1108</v>
      </c>
      <c r="D122" t="s">
        <v>1122</v>
      </c>
      <c r="E122">
        <v>78.540000000000006</v>
      </c>
      <c r="F122">
        <v>608362</v>
      </c>
      <c r="G122" t="s">
        <v>1132</v>
      </c>
      <c r="H122" t="s">
        <v>1134</v>
      </c>
    </row>
    <row r="123" spans="1:8" x14ac:dyDescent="0.25">
      <c r="A123" t="s">
        <v>52</v>
      </c>
      <c r="B123" t="s">
        <v>229</v>
      </c>
      <c r="C123" t="s">
        <v>1116</v>
      </c>
      <c r="D123" t="s">
        <v>1119</v>
      </c>
      <c r="E123">
        <v>43.57</v>
      </c>
      <c r="F123">
        <v>902802</v>
      </c>
      <c r="G123" t="s">
        <v>1131</v>
      </c>
      <c r="H123" t="s">
        <v>1133</v>
      </c>
    </row>
    <row r="124" spans="1:8" x14ac:dyDescent="0.25">
      <c r="A124" t="s">
        <v>8</v>
      </c>
      <c r="B124" t="s">
        <v>230</v>
      </c>
      <c r="C124" t="s">
        <v>1114</v>
      </c>
      <c r="D124" t="s">
        <v>1121</v>
      </c>
      <c r="E124">
        <v>87.9</v>
      </c>
      <c r="F124">
        <v>485754</v>
      </c>
      <c r="G124" t="s">
        <v>1128</v>
      </c>
      <c r="H124" t="s">
        <v>1133</v>
      </c>
    </row>
    <row r="125" spans="1:8" x14ac:dyDescent="0.25">
      <c r="A125" t="s">
        <v>59</v>
      </c>
      <c r="B125" t="s">
        <v>231</v>
      </c>
      <c r="C125" t="s">
        <v>1110</v>
      </c>
      <c r="D125" t="s">
        <v>1122</v>
      </c>
      <c r="E125">
        <v>57.21</v>
      </c>
      <c r="F125">
        <v>105963</v>
      </c>
      <c r="G125" t="s">
        <v>1129</v>
      </c>
      <c r="H125" t="s">
        <v>1133</v>
      </c>
    </row>
    <row r="126" spans="1:8" x14ac:dyDescent="0.25">
      <c r="A126" t="s">
        <v>70</v>
      </c>
      <c r="B126" t="s">
        <v>232</v>
      </c>
      <c r="C126" t="s">
        <v>1113</v>
      </c>
      <c r="D126" t="s">
        <v>1119</v>
      </c>
      <c r="E126">
        <v>44.59</v>
      </c>
      <c r="F126">
        <v>326598</v>
      </c>
      <c r="G126" t="s">
        <v>1130</v>
      </c>
      <c r="H126" t="s">
        <v>1133</v>
      </c>
    </row>
    <row r="127" spans="1:8" x14ac:dyDescent="0.25">
      <c r="A127" t="s">
        <v>75</v>
      </c>
      <c r="B127" t="s">
        <v>233</v>
      </c>
      <c r="C127" t="s">
        <v>1116</v>
      </c>
      <c r="D127" t="s">
        <v>1127</v>
      </c>
      <c r="E127">
        <v>95.67</v>
      </c>
      <c r="F127">
        <v>986117</v>
      </c>
      <c r="G127" t="s">
        <v>1128</v>
      </c>
      <c r="H127" t="s">
        <v>1133</v>
      </c>
    </row>
    <row r="128" spans="1:8" x14ac:dyDescent="0.25">
      <c r="A128" t="s">
        <v>41</v>
      </c>
      <c r="B128" t="s">
        <v>234</v>
      </c>
      <c r="C128" t="s">
        <v>1115</v>
      </c>
      <c r="D128" t="s">
        <v>1118</v>
      </c>
      <c r="E128">
        <v>59.1</v>
      </c>
      <c r="F128">
        <v>876507</v>
      </c>
      <c r="G128" t="s">
        <v>1128</v>
      </c>
      <c r="H128" t="s">
        <v>1134</v>
      </c>
    </row>
    <row r="129" spans="1:8" x14ac:dyDescent="0.25">
      <c r="A129" t="s">
        <v>72</v>
      </c>
      <c r="B129" t="s">
        <v>235</v>
      </c>
      <c r="C129" t="s">
        <v>1114</v>
      </c>
      <c r="D129" t="s">
        <v>1119</v>
      </c>
      <c r="E129">
        <v>39.82</v>
      </c>
      <c r="F129">
        <v>854039</v>
      </c>
      <c r="G129" t="s">
        <v>1132</v>
      </c>
      <c r="H129" t="s">
        <v>1133</v>
      </c>
    </row>
    <row r="130" spans="1:8" x14ac:dyDescent="0.25">
      <c r="A130" t="s">
        <v>70</v>
      </c>
      <c r="B130" t="s">
        <v>236</v>
      </c>
      <c r="C130" t="s">
        <v>1112</v>
      </c>
      <c r="D130" t="s">
        <v>1120</v>
      </c>
      <c r="E130">
        <v>42.86</v>
      </c>
      <c r="F130">
        <v>726931</v>
      </c>
      <c r="G130" t="s">
        <v>1131</v>
      </c>
      <c r="H130" t="s">
        <v>1133</v>
      </c>
    </row>
    <row r="131" spans="1:8" x14ac:dyDescent="0.25">
      <c r="A131" t="s">
        <v>19</v>
      </c>
      <c r="B131" t="s">
        <v>237</v>
      </c>
      <c r="C131" t="s">
        <v>1108</v>
      </c>
      <c r="D131" t="s">
        <v>1120</v>
      </c>
      <c r="E131">
        <v>76.010000000000005</v>
      </c>
      <c r="F131">
        <v>946358</v>
      </c>
      <c r="G131" t="s">
        <v>1129</v>
      </c>
      <c r="H131" t="s">
        <v>1133</v>
      </c>
    </row>
    <row r="132" spans="1:8" x14ac:dyDescent="0.25">
      <c r="A132" t="s">
        <v>41</v>
      </c>
      <c r="B132" t="s">
        <v>238</v>
      </c>
      <c r="C132" t="s">
        <v>1113</v>
      </c>
      <c r="D132" t="s">
        <v>1118</v>
      </c>
      <c r="E132">
        <v>35.85</v>
      </c>
      <c r="F132">
        <v>534455</v>
      </c>
      <c r="G132" t="s">
        <v>1129</v>
      </c>
      <c r="H132" t="s">
        <v>1133</v>
      </c>
    </row>
    <row r="133" spans="1:8" x14ac:dyDescent="0.25">
      <c r="A133" t="s">
        <v>76</v>
      </c>
      <c r="B133" t="s">
        <v>239</v>
      </c>
      <c r="C133" t="s">
        <v>1116</v>
      </c>
      <c r="D133" t="s">
        <v>1124</v>
      </c>
      <c r="E133">
        <v>84.15</v>
      </c>
      <c r="F133">
        <v>805424</v>
      </c>
      <c r="G133" t="s">
        <v>1132</v>
      </c>
      <c r="H133" t="s">
        <v>1133</v>
      </c>
    </row>
    <row r="134" spans="1:8" x14ac:dyDescent="0.25">
      <c r="A134" t="s">
        <v>56</v>
      </c>
      <c r="B134" t="s">
        <v>240</v>
      </c>
      <c r="C134" t="s">
        <v>1116</v>
      </c>
      <c r="D134" t="s">
        <v>1123</v>
      </c>
      <c r="E134">
        <v>85.88</v>
      </c>
      <c r="F134">
        <v>695604</v>
      </c>
      <c r="G134" t="s">
        <v>1129</v>
      </c>
      <c r="H134" t="s">
        <v>1133</v>
      </c>
    </row>
    <row r="135" spans="1:8" x14ac:dyDescent="0.25">
      <c r="A135" t="s">
        <v>77</v>
      </c>
      <c r="B135" t="s">
        <v>241</v>
      </c>
      <c r="C135" t="s">
        <v>1117</v>
      </c>
      <c r="D135" t="s">
        <v>1122</v>
      </c>
      <c r="E135">
        <v>49.01</v>
      </c>
      <c r="F135">
        <v>798294</v>
      </c>
      <c r="G135" t="s">
        <v>1132</v>
      </c>
      <c r="H135" t="s">
        <v>1133</v>
      </c>
    </row>
    <row r="136" spans="1:8" x14ac:dyDescent="0.25">
      <c r="A136" t="s">
        <v>12</v>
      </c>
      <c r="B136" t="s">
        <v>242</v>
      </c>
      <c r="C136" t="s">
        <v>1110</v>
      </c>
      <c r="D136" t="s">
        <v>1127</v>
      </c>
      <c r="E136">
        <v>53.58</v>
      </c>
      <c r="F136">
        <v>585367</v>
      </c>
      <c r="G136" t="s">
        <v>1132</v>
      </c>
      <c r="H136" t="s">
        <v>1133</v>
      </c>
    </row>
    <row r="137" spans="1:8" x14ac:dyDescent="0.25">
      <c r="A137" t="s">
        <v>13</v>
      </c>
      <c r="B137" t="s">
        <v>243</v>
      </c>
      <c r="C137" t="s">
        <v>1109</v>
      </c>
      <c r="D137" t="s">
        <v>1121</v>
      </c>
      <c r="E137">
        <v>77.59</v>
      </c>
      <c r="F137">
        <v>591421</v>
      </c>
      <c r="G137" t="s">
        <v>1131</v>
      </c>
      <c r="H137" t="s">
        <v>1133</v>
      </c>
    </row>
    <row r="138" spans="1:8" x14ac:dyDescent="0.25">
      <c r="A138" t="s">
        <v>45</v>
      </c>
      <c r="B138" t="s">
        <v>244</v>
      </c>
      <c r="C138" t="s">
        <v>1111</v>
      </c>
      <c r="D138" t="s">
        <v>1120</v>
      </c>
      <c r="E138">
        <v>78.67</v>
      </c>
      <c r="F138">
        <v>871578</v>
      </c>
      <c r="G138" t="s">
        <v>1128</v>
      </c>
      <c r="H138" t="s">
        <v>1133</v>
      </c>
    </row>
    <row r="139" spans="1:8" x14ac:dyDescent="0.25">
      <c r="A139" t="s">
        <v>17</v>
      </c>
      <c r="B139" t="s">
        <v>245</v>
      </c>
      <c r="C139" t="s">
        <v>1115</v>
      </c>
      <c r="D139" t="s">
        <v>1126</v>
      </c>
      <c r="E139">
        <v>71.7</v>
      </c>
      <c r="F139">
        <v>280498</v>
      </c>
      <c r="G139" t="s">
        <v>1129</v>
      </c>
      <c r="H139" t="s">
        <v>1133</v>
      </c>
    </row>
    <row r="140" spans="1:8" x14ac:dyDescent="0.25">
      <c r="A140" t="s">
        <v>78</v>
      </c>
      <c r="B140" t="s">
        <v>246</v>
      </c>
      <c r="C140" t="s">
        <v>1111</v>
      </c>
      <c r="D140" t="s">
        <v>1123</v>
      </c>
      <c r="E140">
        <v>56.95</v>
      </c>
      <c r="F140">
        <v>785885</v>
      </c>
      <c r="G140" t="s">
        <v>1129</v>
      </c>
      <c r="H140" t="s">
        <v>1133</v>
      </c>
    </row>
    <row r="141" spans="1:8" x14ac:dyDescent="0.25">
      <c r="A141" t="s">
        <v>70</v>
      </c>
      <c r="B141" t="s">
        <v>247</v>
      </c>
      <c r="C141" t="s">
        <v>1115</v>
      </c>
      <c r="D141" t="s">
        <v>1123</v>
      </c>
      <c r="E141">
        <v>70.12</v>
      </c>
      <c r="F141">
        <v>518876</v>
      </c>
      <c r="G141" t="s">
        <v>1130</v>
      </c>
      <c r="H141" t="s">
        <v>1134</v>
      </c>
    </row>
    <row r="142" spans="1:8" x14ac:dyDescent="0.25">
      <c r="A142" t="s">
        <v>20</v>
      </c>
      <c r="B142" t="s">
        <v>248</v>
      </c>
      <c r="C142" t="s">
        <v>1116</v>
      </c>
      <c r="D142" t="s">
        <v>1123</v>
      </c>
      <c r="E142">
        <v>90.01</v>
      </c>
      <c r="F142">
        <v>175857</v>
      </c>
      <c r="G142" t="s">
        <v>1130</v>
      </c>
      <c r="H142" t="s">
        <v>1134</v>
      </c>
    </row>
    <row r="143" spans="1:8" x14ac:dyDescent="0.25">
      <c r="A143" t="s">
        <v>18</v>
      </c>
      <c r="B143" t="s">
        <v>249</v>
      </c>
      <c r="C143" t="s">
        <v>1113</v>
      </c>
      <c r="D143" t="s">
        <v>1124</v>
      </c>
      <c r="E143">
        <v>45.08</v>
      </c>
      <c r="F143">
        <v>263571</v>
      </c>
      <c r="G143" t="s">
        <v>1131</v>
      </c>
      <c r="H143" t="s">
        <v>1133</v>
      </c>
    </row>
    <row r="144" spans="1:8" x14ac:dyDescent="0.25">
      <c r="A144" t="s">
        <v>50</v>
      </c>
      <c r="B144" t="s">
        <v>250</v>
      </c>
      <c r="C144" t="s">
        <v>1108</v>
      </c>
      <c r="D144" t="s">
        <v>1120</v>
      </c>
      <c r="E144">
        <v>40.270000000000003</v>
      </c>
      <c r="F144">
        <v>892411</v>
      </c>
      <c r="G144" t="s">
        <v>1131</v>
      </c>
      <c r="H144" t="s">
        <v>1133</v>
      </c>
    </row>
    <row r="145" spans="1:8" x14ac:dyDescent="0.25">
      <c r="A145" t="s">
        <v>79</v>
      </c>
      <c r="B145" t="s">
        <v>251</v>
      </c>
      <c r="C145" t="s">
        <v>1116</v>
      </c>
      <c r="D145" t="s">
        <v>1127</v>
      </c>
      <c r="E145">
        <v>60.45</v>
      </c>
      <c r="F145">
        <v>629390</v>
      </c>
      <c r="G145" t="s">
        <v>1131</v>
      </c>
      <c r="H145" t="s">
        <v>1133</v>
      </c>
    </row>
    <row r="146" spans="1:8" x14ac:dyDescent="0.25">
      <c r="A146" t="s">
        <v>31</v>
      </c>
      <c r="B146" t="s">
        <v>252</v>
      </c>
      <c r="C146" t="s">
        <v>1110</v>
      </c>
      <c r="D146" t="s">
        <v>1120</v>
      </c>
      <c r="E146">
        <v>79.239999999999995</v>
      </c>
      <c r="F146">
        <v>875918</v>
      </c>
      <c r="G146" t="s">
        <v>1130</v>
      </c>
      <c r="H146" t="s">
        <v>1133</v>
      </c>
    </row>
    <row r="147" spans="1:8" x14ac:dyDescent="0.25">
      <c r="A147" t="s">
        <v>80</v>
      </c>
      <c r="B147" t="s">
        <v>253</v>
      </c>
      <c r="C147" t="s">
        <v>1114</v>
      </c>
      <c r="D147" t="s">
        <v>1118</v>
      </c>
      <c r="E147">
        <v>70.53</v>
      </c>
      <c r="F147">
        <v>391324</v>
      </c>
      <c r="G147" t="s">
        <v>1130</v>
      </c>
      <c r="H147" t="s">
        <v>1134</v>
      </c>
    </row>
    <row r="148" spans="1:8" x14ac:dyDescent="0.25">
      <c r="A148" t="s">
        <v>14</v>
      </c>
      <c r="B148" t="s">
        <v>254</v>
      </c>
      <c r="C148" t="s">
        <v>1117</v>
      </c>
      <c r="D148" t="s">
        <v>1121</v>
      </c>
      <c r="E148">
        <v>70.2</v>
      </c>
      <c r="F148">
        <v>905213</v>
      </c>
      <c r="G148" t="s">
        <v>1130</v>
      </c>
      <c r="H148" t="s">
        <v>1134</v>
      </c>
    </row>
    <row r="149" spans="1:8" x14ac:dyDescent="0.25">
      <c r="A149" t="s">
        <v>58</v>
      </c>
      <c r="B149" t="s">
        <v>255</v>
      </c>
      <c r="C149" t="s">
        <v>1112</v>
      </c>
      <c r="D149" t="s">
        <v>1124</v>
      </c>
      <c r="E149">
        <v>37.25</v>
      </c>
      <c r="F149">
        <v>353808</v>
      </c>
      <c r="G149" t="s">
        <v>1132</v>
      </c>
      <c r="H149" t="s">
        <v>1133</v>
      </c>
    </row>
    <row r="150" spans="1:8" x14ac:dyDescent="0.25">
      <c r="A150" t="s">
        <v>81</v>
      </c>
      <c r="B150" t="s">
        <v>256</v>
      </c>
      <c r="C150" t="s">
        <v>1112</v>
      </c>
      <c r="D150" t="s">
        <v>1123</v>
      </c>
      <c r="E150">
        <v>58.77</v>
      </c>
      <c r="F150">
        <v>501500</v>
      </c>
      <c r="G150" t="s">
        <v>1132</v>
      </c>
      <c r="H150" t="s">
        <v>1133</v>
      </c>
    </row>
    <row r="151" spans="1:8" x14ac:dyDescent="0.25">
      <c r="A151" t="s">
        <v>47</v>
      </c>
      <c r="B151" t="s">
        <v>257</v>
      </c>
      <c r="C151" t="s">
        <v>1116</v>
      </c>
      <c r="D151" t="s">
        <v>1123</v>
      </c>
      <c r="E151">
        <v>37.729999999999997</v>
      </c>
      <c r="F151">
        <v>841281</v>
      </c>
      <c r="G151" t="s">
        <v>1128</v>
      </c>
      <c r="H151" t="s">
        <v>1133</v>
      </c>
    </row>
    <row r="152" spans="1:8" x14ac:dyDescent="0.25">
      <c r="A152" t="s">
        <v>82</v>
      </c>
      <c r="B152" t="s">
        <v>258</v>
      </c>
      <c r="C152" t="s">
        <v>1109</v>
      </c>
      <c r="D152" t="s">
        <v>1121</v>
      </c>
      <c r="E152">
        <v>92.44</v>
      </c>
      <c r="F152">
        <v>287498</v>
      </c>
      <c r="G152" t="s">
        <v>1131</v>
      </c>
      <c r="H152" t="s">
        <v>1133</v>
      </c>
    </row>
    <row r="153" spans="1:8" x14ac:dyDescent="0.25">
      <c r="A153" t="s">
        <v>83</v>
      </c>
      <c r="B153" t="s">
        <v>259</v>
      </c>
      <c r="C153" t="s">
        <v>1113</v>
      </c>
      <c r="D153" t="s">
        <v>1125</v>
      </c>
      <c r="E153">
        <v>63.08</v>
      </c>
      <c r="F153">
        <v>669162</v>
      </c>
      <c r="G153" t="s">
        <v>1128</v>
      </c>
      <c r="H153" t="s">
        <v>1133</v>
      </c>
    </row>
    <row r="154" spans="1:8" x14ac:dyDescent="0.25">
      <c r="A154" t="s">
        <v>84</v>
      </c>
      <c r="B154" t="s">
        <v>260</v>
      </c>
      <c r="C154" t="s">
        <v>1117</v>
      </c>
      <c r="D154" t="s">
        <v>1127</v>
      </c>
      <c r="E154">
        <v>83.46</v>
      </c>
      <c r="F154">
        <v>799653</v>
      </c>
      <c r="G154" t="s">
        <v>1132</v>
      </c>
      <c r="H154" t="s">
        <v>1133</v>
      </c>
    </row>
    <row r="155" spans="1:8" x14ac:dyDescent="0.25">
      <c r="A155" t="s">
        <v>16</v>
      </c>
      <c r="B155" t="s">
        <v>261</v>
      </c>
      <c r="C155" t="s">
        <v>1110</v>
      </c>
      <c r="D155" t="s">
        <v>1122</v>
      </c>
      <c r="E155">
        <v>98.95</v>
      </c>
      <c r="F155">
        <v>395889</v>
      </c>
      <c r="G155" t="s">
        <v>1129</v>
      </c>
      <c r="H155" t="s">
        <v>1133</v>
      </c>
    </row>
    <row r="156" spans="1:8" x14ac:dyDescent="0.25">
      <c r="A156" t="s">
        <v>34</v>
      </c>
      <c r="B156" t="s">
        <v>262</v>
      </c>
      <c r="C156" t="s">
        <v>1116</v>
      </c>
      <c r="D156" t="s">
        <v>1127</v>
      </c>
      <c r="E156">
        <v>76.73</v>
      </c>
      <c r="F156">
        <v>367349</v>
      </c>
      <c r="G156" t="s">
        <v>1128</v>
      </c>
      <c r="H156" t="s">
        <v>1133</v>
      </c>
    </row>
    <row r="157" spans="1:8" x14ac:dyDescent="0.25">
      <c r="A157" t="s">
        <v>58</v>
      </c>
      <c r="B157" t="s">
        <v>263</v>
      </c>
      <c r="C157" t="s">
        <v>1114</v>
      </c>
      <c r="D157" t="s">
        <v>1120</v>
      </c>
      <c r="E157">
        <v>38.840000000000003</v>
      </c>
      <c r="F157">
        <v>956562</v>
      </c>
      <c r="G157" t="s">
        <v>1132</v>
      </c>
      <c r="H157" t="s">
        <v>1133</v>
      </c>
    </row>
    <row r="158" spans="1:8" x14ac:dyDescent="0.25">
      <c r="A158" t="s">
        <v>48</v>
      </c>
      <c r="B158" t="s">
        <v>264</v>
      </c>
      <c r="C158" t="s">
        <v>1110</v>
      </c>
      <c r="D158" t="s">
        <v>1122</v>
      </c>
      <c r="E158">
        <v>64.430000000000007</v>
      </c>
      <c r="F158">
        <v>845073</v>
      </c>
      <c r="G158" t="s">
        <v>1129</v>
      </c>
      <c r="H158" t="s">
        <v>1133</v>
      </c>
    </row>
    <row r="159" spans="1:8" x14ac:dyDescent="0.25">
      <c r="A159" t="s">
        <v>36</v>
      </c>
      <c r="B159" t="s">
        <v>265</v>
      </c>
      <c r="C159" t="s">
        <v>1116</v>
      </c>
      <c r="D159" t="s">
        <v>1120</v>
      </c>
      <c r="E159">
        <v>95.61</v>
      </c>
      <c r="F159">
        <v>644817</v>
      </c>
      <c r="G159" t="s">
        <v>1131</v>
      </c>
      <c r="H159" t="s">
        <v>1133</v>
      </c>
    </row>
    <row r="160" spans="1:8" x14ac:dyDescent="0.25">
      <c r="A160" t="s">
        <v>85</v>
      </c>
      <c r="B160" t="s">
        <v>266</v>
      </c>
      <c r="C160" t="s">
        <v>1109</v>
      </c>
      <c r="D160" t="s">
        <v>1126</v>
      </c>
      <c r="E160">
        <v>42.94</v>
      </c>
      <c r="F160">
        <v>732431</v>
      </c>
      <c r="G160" t="s">
        <v>1128</v>
      </c>
      <c r="H160" t="s">
        <v>1133</v>
      </c>
    </row>
    <row r="161" spans="1:8" x14ac:dyDescent="0.25">
      <c r="A161" t="s">
        <v>78</v>
      </c>
      <c r="B161" t="s">
        <v>267</v>
      </c>
      <c r="C161" t="s">
        <v>1114</v>
      </c>
      <c r="D161" t="s">
        <v>1118</v>
      </c>
      <c r="E161">
        <v>79.45</v>
      </c>
      <c r="F161">
        <v>293161</v>
      </c>
      <c r="G161" t="s">
        <v>1131</v>
      </c>
      <c r="H161" t="s">
        <v>1133</v>
      </c>
    </row>
    <row r="162" spans="1:8" x14ac:dyDescent="0.25">
      <c r="A162" t="s">
        <v>37</v>
      </c>
      <c r="B162" t="s">
        <v>268</v>
      </c>
      <c r="C162" t="s">
        <v>1110</v>
      </c>
      <c r="D162" t="s">
        <v>1120</v>
      </c>
      <c r="E162">
        <v>63.67</v>
      </c>
      <c r="F162">
        <v>443158</v>
      </c>
      <c r="G162" t="s">
        <v>1128</v>
      </c>
      <c r="H162" t="s">
        <v>1133</v>
      </c>
    </row>
    <row r="163" spans="1:8" x14ac:dyDescent="0.25">
      <c r="A163" t="s">
        <v>85</v>
      </c>
      <c r="B163" t="s">
        <v>269</v>
      </c>
      <c r="C163" t="s">
        <v>1113</v>
      </c>
      <c r="D163" t="s">
        <v>1120</v>
      </c>
      <c r="E163">
        <v>38.4</v>
      </c>
      <c r="F163">
        <v>116582</v>
      </c>
      <c r="G163" t="s">
        <v>1132</v>
      </c>
      <c r="H163" t="s">
        <v>1133</v>
      </c>
    </row>
    <row r="164" spans="1:8" x14ac:dyDescent="0.25">
      <c r="A164" t="s">
        <v>86</v>
      </c>
      <c r="B164" t="s">
        <v>270</v>
      </c>
      <c r="C164" t="s">
        <v>1109</v>
      </c>
      <c r="D164" t="s">
        <v>1118</v>
      </c>
      <c r="E164">
        <v>67.03</v>
      </c>
      <c r="F164">
        <v>801413</v>
      </c>
      <c r="G164" t="s">
        <v>1129</v>
      </c>
      <c r="H164" t="s">
        <v>1133</v>
      </c>
    </row>
    <row r="165" spans="1:8" x14ac:dyDescent="0.25">
      <c r="A165" t="s">
        <v>77</v>
      </c>
      <c r="B165" t="s">
        <v>271</v>
      </c>
      <c r="C165" t="s">
        <v>1116</v>
      </c>
      <c r="D165" t="s">
        <v>1122</v>
      </c>
      <c r="E165">
        <v>52.13</v>
      </c>
      <c r="F165">
        <v>279027</v>
      </c>
      <c r="G165" t="s">
        <v>1132</v>
      </c>
      <c r="H165" t="s">
        <v>1133</v>
      </c>
    </row>
    <row r="166" spans="1:8" x14ac:dyDescent="0.25">
      <c r="A166" t="s">
        <v>55</v>
      </c>
      <c r="B166" t="s">
        <v>272</v>
      </c>
      <c r="C166" t="s">
        <v>1114</v>
      </c>
      <c r="D166" t="s">
        <v>1125</v>
      </c>
      <c r="E166">
        <v>45.06</v>
      </c>
      <c r="F166">
        <v>111941</v>
      </c>
      <c r="G166" t="s">
        <v>1128</v>
      </c>
      <c r="H166" t="s">
        <v>1134</v>
      </c>
    </row>
    <row r="167" spans="1:8" x14ac:dyDescent="0.25">
      <c r="A167" t="s">
        <v>16</v>
      </c>
      <c r="B167" t="s">
        <v>273</v>
      </c>
      <c r="C167" t="s">
        <v>1114</v>
      </c>
      <c r="D167" t="s">
        <v>1121</v>
      </c>
      <c r="E167">
        <v>75.45</v>
      </c>
      <c r="F167">
        <v>427293</v>
      </c>
      <c r="G167" t="s">
        <v>1132</v>
      </c>
      <c r="H167" t="s">
        <v>1133</v>
      </c>
    </row>
    <row r="168" spans="1:8" x14ac:dyDescent="0.25">
      <c r="A168" t="s">
        <v>32</v>
      </c>
      <c r="B168" t="s">
        <v>274</v>
      </c>
      <c r="C168" t="s">
        <v>1114</v>
      </c>
      <c r="D168" t="s">
        <v>1119</v>
      </c>
      <c r="E168">
        <v>78.94</v>
      </c>
      <c r="F168">
        <v>568635</v>
      </c>
      <c r="G168" t="s">
        <v>1128</v>
      </c>
      <c r="H168" t="s">
        <v>1133</v>
      </c>
    </row>
    <row r="169" spans="1:8" x14ac:dyDescent="0.25">
      <c r="A169" t="s">
        <v>87</v>
      </c>
      <c r="B169" t="s">
        <v>275</v>
      </c>
      <c r="C169" t="s">
        <v>1111</v>
      </c>
      <c r="D169" t="s">
        <v>1119</v>
      </c>
      <c r="E169">
        <v>75.150000000000006</v>
      </c>
      <c r="F169">
        <v>899772</v>
      </c>
      <c r="G169" t="s">
        <v>1129</v>
      </c>
      <c r="H169" t="s">
        <v>1133</v>
      </c>
    </row>
    <row r="170" spans="1:8" x14ac:dyDescent="0.25">
      <c r="A170" t="s">
        <v>36</v>
      </c>
      <c r="B170" t="s">
        <v>276</v>
      </c>
      <c r="C170" t="s">
        <v>1111</v>
      </c>
      <c r="D170" t="s">
        <v>1122</v>
      </c>
      <c r="E170">
        <v>99.41</v>
      </c>
      <c r="F170">
        <v>330950</v>
      </c>
      <c r="G170" t="s">
        <v>1130</v>
      </c>
      <c r="H170" t="s">
        <v>1134</v>
      </c>
    </row>
    <row r="171" spans="1:8" x14ac:dyDescent="0.25">
      <c r="A171" t="s">
        <v>61</v>
      </c>
      <c r="B171" t="s">
        <v>277</v>
      </c>
      <c r="C171" t="s">
        <v>1117</v>
      </c>
      <c r="D171" t="s">
        <v>1120</v>
      </c>
      <c r="E171">
        <v>51.72</v>
      </c>
      <c r="F171">
        <v>310700</v>
      </c>
      <c r="G171" t="s">
        <v>1131</v>
      </c>
      <c r="H171" t="s">
        <v>1134</v>
      </c>
    </row>
    <row r="172" spans="1:8" x14ac:dyDescent="0.25">
      <c r="A172" t="s">
        <v>46</v>
      </c>
      <c r="B172" t="s">
        <v>278</v>
      </c>
      <c r="C172" t="s">
        <v>1112</v>
      </c>
      <c r="D172" t="s">
        <v>1123</v>
      </c>
      <c r="E172">
        <v>64.17</v>
      </c>
      <c r="F172">
        <v>637843</v>
      </c>
      <c r="G172" t="s">
        <v>1130</v>
      </c>
      <c r="H172" t="s">
        <v>1134</v>
      </c>
    </row>
    <row r="173" spans="1:8" x14ac:dyDescent="0.25">
      <c r="A173" t="s">
        <v>76</v>
      </c>
      <c r="B173" t="s">
        <v>279</v>
      </c>
      <c r="C173" t="s">
        <v>1113</v>
      </c>
      <c r="D173" t="s">
        <v>1118</v>
      </c>
      <c r="E173">
        <v>65.209999999999994</v>
      </c>
      <c r="F173">
        <v>535538</v>
      </c>
      <c r="G173" t="s">
        <v>1129</v>
      </c>
      <c r="H173" t="s">
        <v>1134</v>
      </c>
    </row>
    <row r="174" spans="1:8" x14ac:dyDescent="0.25">
      <c r="A174" t="s">
        <v>82</v>
      </c>
      <c r="B174" t="s">
        <v>280</v>
      </c>
      <c r="C174" t="s">
        <v>1116</v>
      </c>
      <c r="D174" t="s">
        <v>1121</v>
      </c>
      <c r="E174">
        <v>67.53</v>
      </c>
      <c r="F174">
        <v>335354</v>
      </c>
      <c r="G174" t="s">
        <v>1130</v>
      </c>
      <c r="H174" t="s">
        <v>1133</v>
      </c>
    </row>
    <row r="175" spans="1:8" x14ac:dyDescent="0.25">
      <c r="A175" t="s">
        <v>29</v>
      </c>
      <c r="B175" t="s">
        <v>281</v>
      </c>
      <c r="C175" t="s">
        <v>1114</v>
      </c>
      <c r="D175" t="s">
        <v>1121</v>
      </c>
      <c r="E175">
        <v>84.99</v>
      </c>
      <c r="F175">
        <v>239995</v>
      </c>
      <c r="G175" t="s">
        <v>1128</v>
      </c>
      <c r="H175" t="s">
        <v>1133</v>
      </c>
    </row>
    <row r="176" spans="1:8" x14ac:dyDescent="0.25">
      <c r="A176" t="s">
        <v>75</v>
      </c>
      <c r="B176" t="s">
        <v>282</v>
      </c>
      <c r="C176" t="s">
        <v>1113</v>
      </c>
      <c r="D176" t="s">
        <v>1118</v>
      </c>
      <c r="E176">
        <v>77.25</v>
      </c>
      <c r="F176">
        <v>467389</v>
      </c>
      <c r="G176" t="s">
        <v>1131</v>
      </c>
      <c r="H176" t="s">
        <v>1133</v>
      </c>
    </row>
    <row r="177" spans="1:8" x14ac:dyDescent="0.25">
      <c r="A177" t="s">
        <v>53</v>
      </c>
      <c r="B177" t="s">
        <v>283</v>
      </c>
      <c r="C177" t="s">
        <v>1114</v>
      </c>
      <c r="D177" t="s">
        <v>1120</v>
      </c>
      <c r="E177">
        <v>78.739999999999995</v>
      </c>
      <c r="F177">
        <v>476021</v>
      </c>
      <c r="G177" t="s">
        <v>1130</v>
      </c>
      <c r="H177" t="s">
        <v>1133</v>
      </c>
    </row>
    <row r="178" spans="1:8" x14ac:dyDescent="0.25">
      <c r="A178" t="s">
        <v>42</v>
      </c>
      <c r="B178" t="s">
        <v>284</v>
      </c>
      <c r="C178" t="s">
        <v>1114</v>
      </c>
      <c r="D178" t="s">
        <v>1121</v>
      </c>
      <c r="E178">
        <v>71.95</v>
      </c>
      <c r="F178">
        <v>342036</v>
      </c>
      <c r="G178" t="s">
        <v>1132</v>
      </c>
      <c r="H178" t="s">
        <v>1133</v>
      </c>
    </row>
    <row r="179" spans="1:8" x14ac:dyDescent="0.25">
      <c r="A179" t="s">
        <v>84</v>
      </c>
      <c r="B179" t="s">
        <v>285</v>
      </c>
      <c r="C179" t="s">
        <v>1108</v>
      </c>
      <c r="D179" t="s">
        <v>1126</v>
      </c>
      <c r="E179">
        <v>69.290000000000006</v>
      </c>
      <c r="F179">
        <v>683032</v>
      </c>
      <c r="G179" t="s">
        <v>1131</v>
      </c>
      <c r="H179" t="s">
        <v>1133</v>
      </c>
    </row>
    <row r="180" spans="1:8" x14ac:dyDescent="0.25">
      <c r="A180" t="s">
        <v>27</v>
      </c>
      <c r="B180" t="s">
        <v>286</v>
      </c>
      <c r="C180" t="s">
        <v>1108</v>
      </c>
      <c r="D180" t="s">
        <v>1125</v>
      </c>
      <c r="E180">
        <v>38.11</v>
      </c>
      <c r="F180">
        <v>875607</v>
      </c>
      <c r="G180" t="s">
        <v>1130</v>
      </c>
      <c r="H180" t="s">
        <v>1133</v>
      </c>
    </row>
    <row r="181" spans="1:8" x14ac:dyDescent="0.25">
      <c r="A181" t="s">
        <v>24</v>
      </c>
      <c r="B181" t="s">
        <v>287</v>
      </c>
      <c r="C181" t="s">
        <v>1108</v>
      </c>
      <c r="D181" t="s">
        <v>1122</v>
      </c>
      <c r="E181">
        <v>43.14</v>
      </c>
      <c r="F181">
        <v>991106</v>
      </c>
      <c r="G181" t="s">
        <v>1130</v>
      </c>
      <c r="H181" t="s">
        <v>1133</v>
      </c>
    </row>
    <row r="182" spans="1:8" x14ac:dyDescent="0.25">
      <c r="A182" t="s">
        <v>56</v>
      </c>
      <c r="B182" t="s">
        <v>288</v>
      </c>
      <c r="C182" t="s">
        <v>1108</v>
      </c>
      <c r="D182" t="s">
        <v>1120</v>
      </c>
      <c r="E182">
        <v>36</v>
      </c>
      <c r="F182">
        <v>293804</v>
      </c>
      <c r="G182" t="s">
        <v>1132</v>
      </c>
      <c r="H182" t="s">
        <v>1134</v>
      </c>
    </row>
    <row r="183" spans="1:8" x14ac:dyDescent="0.25">
      <c r="A183" t="s">
        <v>83</v>
      </c>
      <c r="B183" t="s">
        <v>289</v>
      </c>
      <c r="C183" t="s">
        <v>1110</v>
      </c>
      <c r="D183" t="s">
        <v>1127</v>
      </c>
      <c r="E183">
        <v>86.13</v>
      </c>
      <c r="F183">
        <v>466317</v>
      </c>
      <c r="G183" t="s">
        <v>1128</v>
      </c>
      <c r="H183" t="s">
        <v>1133</v>
      </c>
    </row>
    <row r="184" spans="1:8" x14ac:dyDescent="0.25">
      <c r="A184" t="s">
        <v>51</v>
      </c>
      <c r="B184" t="s">
        <v>290</v>
      </c>
      <c r="C184" t="s">
        <v>1117</v>
      </c>
      <c r="D184" t="s">
        <v>1123</v>
      </c>
      <c r="E184">
        <v>56.3</v>
      </c>
      <c r="F184">
        <v>530136</v>
      </c>
      <c r="G184" t="s">
        <v>1131</v>
      </c>
      <c r="H184" t="s">
        <v>1134</v>
      </c>
    </row>
    <row r="185" spans="1:8" x14ac:dyDescent="0.25">
      <c r="A185" t="s">
        <v>72</v>
      </c>
      <c r="B185" t="s">
        <v>291</v>
      </c>
      <c r="C185" t="s">
        <v>1111</v>
      </c>
      <c r="D185" t="s">
        <v>1120</v>
      </c>
      <c r="E185">
        <v>60.22</v>
      </c>
      <c r="F185">
        <v>916217</v>
      </c>
      <c r="G185" t="s">
        <v>1129</v>
      </c>
      <c r="H185" t="s">
        <v>1133</v>
      </c>
    </row>
    <row r="186" spans="1:8" x14ac:dyDescent="0.25">
      <c r="A186" t="s">
        <v>87</v>
      </c>
      <c r="B186" t="s">
        <v>292</v>
      </c>
      <c r="C186" t="s">
        <v>1112</v>
      </c>
      <c r="D186" t="s">
        <v>1124</v>
      </c>
      <c r="E186">
        <v>81.34</v>
      </c>
      <c r="F186">
        <v>645844</v>
      </c>
      <c r="G186" t="s">
        <v>1130</v>
      </c>
      <c r="H186" t="s">
        <v>1133</v>
      </c>
    </row>
    <row r="187" spans="1:8" x14ac:dyDescent="0.25">
      <c r="A187" t="s">
        <v>77</v>
      </c>
      <c r="B187" t="s">
        <v>293</v>
      </c>
      <c r="C187" t="s">
        <v>1116</v>
      </c>
      <c r="D187" t="s">
        <v>1126</v>
      </c>
      <c r="E187">
        <v>68.88</v>
      </c>
      <c r="F187">
        <v>307287</v>
      </c>
      <c r="G187" t="s">
        <v>1132</v>
      </c>
      <c r="H187" t="s">
        <v>1133</v>
      </c>
    </row>
    <row r="188" spans="1:8" x14ac:dyDescent="0.25">
      <c r="A188" t="s">
        <v>28</v>
      </c>
      <c r="B188" t="s">
        <v>294</v>
      </c>
      <c r="C188" t="s">
        <v>1109</v>
      </c>
      <c r="D188" t="s">
        <v>1126</v>
      </c>
      <c r="E188">
        <v>85.08</v>
      </c>
      <c r="F188">
        <v>504646</v>
      </c>
      <c r="G188" t="s">
        <v>1128</v>
      </c>
      <c r="H188" t="s">
        <v>1133</v>
      </c>
    </row>
    <row r="189" spans="1:8" x14ac:dyDescent="0.25">
      <c r="A189" t="s">
        <v>43</v>
      </c>
      <c r="B189" t="s">
        <v>295</v>
      </c>
      <c r="C189" t="s">
        <v>1116</v>
      </c>
      <c r="D189" t="s">
        <v>1120</v>
      </c>
      <c r="E189">
        <v>79.89</v>
      </c>
      <c r="F189">
        <v>542467</v>
      </c>
      <c r="G189" t="s">
        <v>1131</v>
      </c>
      <c r="H189" t="s">
        <v>1133</v>
      </c>
    </row>
    <row r="190" spans="1:8" x14ac:dyDescent="0.25">
      <c r="A190" t="s">
        <v>14</v>
      </c>
      <c r="B190" t="s">
        <v>296</v>
      </c>
      <c r="C190" t="s">
        <v>1109</v>
      </c>
      <c r="D190" t="s">
        <v>1127</v>
      </c>
      <c r="E190">
        <v>87.04</v>
      </c>
      <c r="F190">
        <v>556525</v>
      </c>
      <c r="G190" t="s">
        <v>1128</v>
      </c>
      <c r="H190" t="s">
        <v>1134</v>
      </c>
    </row>
    <row r="191" spans="1:8" x14ac:dyDescent="0.25">
      <c r="A191" t="s">
        <v>84</v>
      </c>
      <c r="B191" t="s">
        <v>297</v>
      </c>
      <c r="C191" t="s">
        <v>1108</v>
      </c>
      <c r="D191" t="s">
        <v>1119</v>
      </c>
      <c r="E191">
        <v>77.84</v>
      </c>
      <c r="F191">
        <v>958105</v>
      </c>
      <c r="G191" t="s">
        <v>1128</v>
      </c>
      <c r="H191" t="s">
        <v>1133</v>
      </c>
    </row>
    <row r="192" spans="1:8" x14ac:dyDescent="0.25">
      <c r="A192" t="s">
        <v>57</v>
      </c>
      <c r="B192" t="s">
        <v>298</v>
      </c>
      <c r="C192" t="s">
        <v>1113</v>
      </c>
      <c r="D192" t="s">
        <v>1123</v>
      </c>
      <c r="E192">
        <v>52.13</v>
      </c>
      <c r="F192">
        <v>299313</v>
      </c>
      <c r="G192" t="s">
        <v>1130</v>
      </c>
      <c r="H192" t="s">
        <v>1133</v>
      </c>
    </row>
    <row r="193" spans="1:8" x14ac:dyDescent="0.25">
      <c r="A193" t="s">
        <v>23</v>
      </c>
      <c r="B193" t="s">
        <v>299</v>
      </c>
      <c r="C193" t="s">
        <v>1114</v>
      </c>
      <c r="D193" t="s">
        <v>1127</v>
      </c>
      <c r="E193">
        <v>71.709999999999994</v>
      </c>
      <c r="F193">
        <v>265224</v>
      </c>
      <c r="G193" t="s">
        <v>1129</v>
      </c>
      <c r="H193" t="s">
        <v>1133</v>
      </c>
    </row>
    <row r="194" spans="1:8" x14ac:dyDescent="0.25">
      <c r="A194" t="s">
        <v>59</v>
      </c>
      <c r="B194" t="s">
        <v>300</v>
      </c>
      <c r="C194" t="s">
        <v>1114</v>
      </c>
      <c r="D194" t="s">
        <v>1123</v>
      </c>
      <c r="E194">
        <v>38.92</v>
      </c>
      <c r="F194">
        <v>831464</v>
      </c>
      <c r="G194" t="s">
        <v>1132</v>
      </c>
      <c r="H194" t="s">
        <v>1133</v>
      </c>
    </row>
    <row r="195" spans="1:8" x14ac:dyDescent="0.25">
      <c r="A195" t="s">
        <v>46</v>
      </c>
      <c r="B195" t="s">
        <v>301</v>
      </c>
      <c r="C195" t="s">
        <v>1113</v>
      </c>
      <c r="D195" t="s">
        <v>1120</v>
      </c>
      <c r="E195">
        <v>87.14</v>
      </c>
      <c r="F195">
        <v>685008</v>
      </c>
      <c r="G195" t="s">
        <v>1131</v>
      </c>
      <c r="H195" t="s">
        <v>1133</v>
      </c>
    </row>
    <row r="196" spans="1:8" x14ac:dyDescent="0.25">
      <c r="A196" t="s">
        <v>70</v>
      </c>
      <c r="B196" t="s">
        <v>302</v>
      </c>
      <c r="C196" t="s">
        <v>1116</v>
      </c>
      <c r="D196" t="s">
        <v>1123</v>
      </c>
      <c r="E196">
        <v>99.07</v>
      </c>
      <c r="F196">
        <v>114714</v>
      </c>
      <c r="G196" t="s">
        <v>1130</v>
      </c>
      <c r="H196" t="s">
        <v>1133</v>
      </c>
    </row>
    <row r="197" spans="1:8" x14ac:dyDescent="0.25">
      <c r="A197" t="s">
        <v>63</v>
      </c>
      <c r="B197" t="s">
        <v>303</v>
      </c>
      <c r="C197" t="s">
        <v>1113</v>
      </c>
      <c r="D197" t="s">
        <v>1121</v>
      </c>
      <c r="E197">
        <v>83.01</v>
      </c>
      <c r="F197">
        <v>117665</v>
      </c>
      <c r="G197" t="s">
        <v>1131</v>
      </c>
      <c r="H197" t="s">
        <v>1133</v>
      </c>
    </row>
    <row r="198" spans="1:8" x14ac:dyDescent="0.25">
      <c r="A198" t="s">
        <v>88</v>
      </c>
      <c r="B198" t="s">
        <v>304</v>
      </c>
      <c r="C198" t="s">
        <v>1117</v>
      </c>
      <c r="D198" t="s">
        <v>1124</v>
      </c>
      <c r="E198">
        <v>61.52</v>
      </c>
      <c r="F198">
        <v>425787</v>
      </c>
      <c r="G198" t="s">
        <v>1128</v>
      </c>
      <c r="H198" t="s">
        <v>1133</v>
      </c>
    </row>
    <row r="199" spans="1:8" x14ac:dyDescent="0.25">
      <c r="A199" t="s">
        <v>27</v>
      </c>
      <c r="B199" t="s">
        <v>305</v>
      </c>
      <c r="C199" t="s">
        <v>1109</v>
      </c>
      <c r="D199" t="s">
        <v>1127</v>
      </c>
      <c r="E199">
        <v>44.19</v>
      </c>
      <c r="F199">
        <v>719623</v>
      </c>
      <c r="G199" t="s">
        <v>1132</v>
      </c>
      <c r="H199" t="s">
        <v>1133</v>
      </c>
    </row>
    <row r="200" spans="1:8" x14ac:dyDescent="0.25">
      <c r="A200" t="s">
        <v>42</v>
      </c>
      <c r="B200" t="s">
        <v>306</v>
      </c>
      <c r="C200" t="s">
        <v>1111</v>
      </c>
      <c r="D200" t="s">
        <v>1119</v>
      </c>
      <c r="E200">
        <v>39.340000000000003</v>
      </c>
      <c r="F200">
        <v>473387</v>
      </c>
      <c r="G200" t="s">
        <v>1129</v>
      </c>
      <c r="H200" t="s">
        <v>1134</v>
      </c>
    </row>
    <row r="201" spans="1:8" x14ac:dyDescent="0.25">
      <c r="A201" t="s">
        <v>25</v>
      </c>
      <c r="B201" t="s">
        <v>307</v>
      </c>
      <c r="C201" t="s">
        <v>1109</v>
      </c>
      <c r="D201" t="s">
        <v>1122</v>
      </c>
      <c r="E201">
        <v>73.03</v>
      </c>
      <c r="F201">
        <v>869318</v>
      </c>
      <c r="G201" t="s">
        <v>1129</v>
      </c>
      <c r="H201" t="s">
        <v>1133</v>
      </c>
    </row>
    <row r="202" spans="1:8" x14ac:dyDescent="0.25">
      <c r="A202" t="s">
        <v>28</v>
      </c>
      <c r="B202" t="s">
        <v>308</v>
      </c>
      <c r="C202" t="s">
        <v>1110</v>
      </c>
      <c r="D202" t="s">
        <v>1119</v>
      </c>
      <c r="E202">
        <v>91.83</v>
      </c>
      <c r="F202">
        <v>829915</v>
      </c>
      <c r="G202" t="s">
        <v>1129</v>
      </c>
      <c r="H202" t="s">
        <v>1133</v>
      </c>
    </row>
    <row r="203" spans="1:8" x14ac:dyDescent="0.25">
      <c r="A203" t="s">
        <v>26</v>
      </c>
      <c r="B203" t="s">
        <v>309</v>
      </c>
      <c r="C203" t="s">
        <v>1111</v>
      </c>
      <c r="D203" t="s">
        <v>1119</v>
      </c>
      <c r="E203">
        <v>44.67</v>
      </c>
      <c r="F203">
        <v>194366</v>
      </c>
      <c r="G203" t="s">
        <v>1132</v>
      </c>
      <c r="H203" t="s">
        <v>1133</v>
      </c>
    </row>
    <row r="204" spans="1:8" x14ac:dyDescent="0.25">
      <c r="A204" t="s">
        <v>89</v>
      </c>
      <c r="B204" t="s">
        <v>310</v>
      </c>
      <c r="C204" t="s">
        <v>1115</v>
      </c>
      <c r="D204" t="s">
        <v>1125</v>
      </c>
      <c r="E204">
        <v>46.2</v>
      </c>
      <c r="F204">
        <v>834102</v>
      </c>
      <c r="G204" t="s">
        <v>1130</v>
      </c>
      <c r="H204" t="s">
        <v>1133</v>
      </c>
    </row>
    <row r="205" spans="1:8" x14ac:dyDescent="0.25">
      <c r="A205" t="s">
        <v>64</v>
      </c>
      <c r="B205" t="s">
        <v>311</v>
      </c>
      <c r="C205" t="s">
        <v>1117</v>
      </c>
      <c r="D205" t="s">
        <v>1121</v>
      </c>
      <c r="E205">
        <v>57.61</v>
      </c>
      <c r="F205">
        <v>726252</v>
      </c>
      <c r="G205" t="s">
        <v>1129</v>
      </c>
      <c r="H205" t="s">
        <v>1133</v>
      </c>
    </row>
    <row r="206" spans="1:8" x14ac:dyDescent="0.25">
      <c r="A206" t="s">
        <v>76</v>
      </c>
      <c r="B206" t="s">
        <v>312</v>
      </c>
      <c r="C206" t="s">
        <v>1109</v>
      </c>
      <c r="D206" t="s">
        <v>1123</v>
      </c>
      <c r="E206">
        <v>67.42</v>
      </c>
      <c r="F206">
        <v>886833</v>
      </c>
      <c r="G206" t="s">
        <v>1132</v>
      </c>
      <c r="H206" t="s">
        <v>1134</v>
      </c>
    </row>
    <row r="207" spans="1:8" x14ac:dyDescent="0.25">
      <c r="A207" t="s">
        <v>56</v>
      </c>
      <c r="B207" t="s">
        <v>313</v>
      </c>
      <c r="C207" t="s">
        <v>1113</v>
      </c>
      <c r="D207" t="s">
        <v>1126</v>
      </c>
      <c r="E207">
        <v>79.16</v>
      </c>
      <c r="F207">
        <v>158220</v>
      </c>
      <c r="G207" t="s">
        <v>1131</v>
      </c>
      <c r="H207" t="s">
        <v>1133</v>
      </c>
    </row>
    <row r="208" spans="1:8" x14ac:dyDescent="0.25">
      <c r="A208" t="s">
        <v>69</v>
      </c>
      <c r="B208" t="s">
        <v>314</v>
      </c>
      <c r="C208" t="s">
        <v>1115</v>
      </c>
      <c r="D208" t="s">
        <v>1121</v>
      </c>
      <c r="E208">
        <v>77.95</v>
      </c>
      <c r="F208">
        <v>899616</v>
      </c>
      <c r="G208" t="s">
        <v>1130</v>
      </c>
      <c r="H208" t="s">
        <v>1133</v>
      </c>
    </row>
    <row r="209" spans="1:8" x14ac:dyDescent="0.25">
      <c r="A209" t="s">
        <v>79</v>
      </c>
      <c r="B209" t="s">
        <v>315</v>
      </c>
      <c r="C209" t="s">
        <v>1112</v>
      </c>
      <c r="D209" t="s">
        <v>1122</v>
      </c>
      <c r="E209">
        <v>85.68</v>
      </c>
      <c r="F209">
        <v>460200</v>
      </c>
      <c r="G209" t="s">
        <v>1130</v>
      </c>
      <c r="H209" t="s">
        <v>1134</v>
      </c>
    </row>
    <row r="210" spans="1:8" x14ac:dyDescent="0.25">
      <c r="A210" t="s">
        <v>65</v>
      </c>
      <c r="B210" t="s">
        <v>316</v>
      </c>
      <c r="C210" t="s">
        <v>1108</v>
      </c>
      <c r="D210" t="s">
        <v>1127</v>
      </c>
      <c r="E210">
        <v>50.84</v>
      </c>
      <c r="F210">
        <v>468380</v>
      </c>
      <c r="G210" t="s">
        <v>1130</v>
      </c>
      <c r="H210" t="s">
        <v>1134</v>
      </c>
    </row>
    <row r="211" spans="1:8" x14ac:dyDescent="0.25">
      <c r="A211" t="s">
        <v>42</v>
      </c>
      <c r="B211" t="s">
        <v>317</v>
      </c>
      <c r="C211" t="s">
        <v>1111</v>
      </c>
      <c r="D211" t="s">
        <v>1127</v>
      </c>
      <c r="E211">
        <v>91.63</v>
      </c>
      <c r="F211">
        <v>179613</v>
      </c>
      <c r="G211" t="s">
        <v>1128</v>
      </c>
      <c r="H211" t="s">
        <v>1133</v>
      </c>
    </row>
    <row r="212" spans="1:8" x14ac:dyDescent="0.25">
      <c r="A212" t="s">
        <v>45</v>
      </c>
      <c r="B212" t="s">
        <v>318</v>
      </c>
      <c r="C212" t="s">
        <v>1115</v>
      </c>
      <c r="D212" t="s">
        <v>1122</v>
      </c>
      <c r="E212">
        <v>67.73</v>
      </c>
      <c r="F212">
        <v>214223</v>
      </c>
      <c r="G212" t="s">
        <v>1130</v>
      </c>
      <c r="H212" t="s">
        <v>1133</v>
      </c>
    </row>
    <row r="213" spans="1:8" x14ac:dyDescent="0.25">
      <c r="A213" t="s">
        <v>50</v>
      </c>
      <c r="B213" t="s">
        <v>319</v>
      </c>
      <c r="C213" t="s">
        <v>1111</v>
      </c>
      <c r="D213" t="s">
        <v>1125</v>
      </c>
      <c r="E213">
        <v>74.349999999999994</v>
      </c>
      <c r="F213">
        <v>818962</v>
      </c>
      <c r="G213" t="s">
        <v>1130</v>
      </c>
      <c r="H213" t="s">
        <v>1133</v>
      </c>
    </row>
    <row r="214" spans="1:8" x14ac:dyDescent="0.25">
      <c r="A214" t="s">
        <v>63</v>
      </c>
      <c r="B214" t="s">
        <v>320</v>
      </c>
      <c r="C214" t="s">
        <v>1115</v>
      </c>
      <c r="D214" t="s">
        <v>1123</v>
      </c>
      <c r="E214">
        <v>81.31</v>
      </c>
      <c r="F214">
        <v>176050</v>
      </c>
      <c r="G214" t="s">
        <v>1131</v>
      </c>
      <c r="H214" t="s">
        <v>1133</v>
      </c>
    </row>
    <row r="215" spans="1:8" x14ac:dyDescent="0.25">
      <c r="A215" t="s">
        <v>51</v>
      </c>
      <c r="B215" t="s">
        <v>321</v>
      </c>
      <c r="C215" t="s">
        <v>1115</v>
      </c>
      <c r="D215" t="s">
        <v>1126</v>
      </c>
      <c r="E215">
        <v>65.48</v>
      </c>
      <c r="F215">
        <v>594108</v>
      </c>
      <c r="G215" t="s">
        <v>1132</v>
      </c>
      <c r="H215" t="s">
        <v>1133</v>
      </c>
    </row>
    <row r="216" spans="1:8" x14ac:dyDescent="0.25">
      <c r="A216" t="s">
        <v>41</v>
      </c>
      <c r="B216" t="s">
        <v>322</v>
      </c>
      <c r="C216" t="s">
        <v>1117</v>
      </c>
      <c r="D216" t="s">
        <v>1118</v>
      </c>
      <c r="E216">
        <v>79.56</v>
      </c>
      <c r="F216">
        <v>209568</v>
      </c>
      <c r="G216" t="s">
        <v>1129</v>
      </c>
      <c r="H216" t="s">
        <v>1134</v>
      </c>
    </row>
    <row r="217" spans="1:8" x14ac:dyDescent="0.25">
      <c r="A217" t="s">
        <v>43</v>
      </c>
      <c r="B217" t="s">
        <v>323</v>
      </c>
      <c r="C217" t="s">
        <v>1115</v>
      </c>
      <c r="D217" t="s">
        <v>1122</v>
      </c>
      <c r="E217">
        <v>68.650000000000006</v>
      </c>
      <c r="F217">
        <v>800405</v>
      </c>
      <c r="G217" t="s">
        <v>1128</v>
      </c>
      <c r="H217" t="s">
        <v>1133</v>
      </c>
    </row>
    <row r="218" spans="1:8" x14ac:dyDescent="0.25">
      <c r="A218" t="s">
        <v>82</v>
      </c>
      <c r="B218" t="s">
        <v>324</v>
      </c>
      <c r="C218" t="s">
        <v>1110</v>
      </c>
      <c r="D218" t="s">
        <v>1127</v>
      </c>
      <c r="E218">
        <v>79</v>
      </c>
      <c r="F218">
        <v>582138</v>
      </c>
      <c r="G218" t="s">
        <v>1128</v>
      </c>
      <c r="H218" t="s">
        <v>1133</v>
      </c>
    </row>
    <row r="219" spans="1:8" x14ac:dyDescent="0.25">
      <c r="A219" t="s">
        <v>66</v>
      </c>
      <c r="B219" t="s">
        <v>325</v>
      </c>
      <c r="C219" t="s">
        <v>1115</v>
      </c>
      <c r="D219" t="s">
        <v>1122</v>
      </c>
      <c r="E219">
        <v>38.44</v>
      </c>
      <c r="F219">
        <v>887992</v>
      </c>
      <c r="G219" t="s">
        <v>1131</v>
      </c>
      <c r="H219" t="s">
        <v>1133</v>
      </c>
    </row>
    <row r="220" spans="1:8" x14ac:dyDescent="0.25">
      <c r="A220" t="s">
        <v>90</v>
      </c>
      <c r="B220" t="s">
        <v>326</v>
      </c>
      <c r="C220" t="s">
        <v>1116</v>
      </c>
      <c r="D220" t="s">
        <v>1119</v>
      </c>
      <c r="E220">
        <v>97.29</v>
      </c>
      <c r="F220">
        <v>254873</v>
      </c>
      <c r="G220" t="s">
        <v>1130</v>
      </c>
      <c r="H220" t="s">
        <v>1134</v>
      </c>
    </row>
    <row r="221" spans="1:8" x14ac:dyDescent="0.25">
      <c r="A221" t="s">
        <v>71</v>
      </c>
      <c r="B221" t="s">
        <v>327</v>
      </c>
      <c r="C221" t="s">
        <v>1116</v>
      </c>
      <c r="D221" t="s">
        <v>1127</v>
      </c>
      <c r="E221">
        <v>75.739999999999995</v>
      </c>
      <c r="F221">
        <v>550786</v>
      </c>
      <c r="G221" t="s">
        <v>1128</v>
      </c>
      <c r="H221" t="s">
        <v>1133</v>
      </c>
    </row>
    <row r="222" spans="1:8" x14ac:dyDescent="0.25">
      <c r="A222" t="s">
        <v>55</v>
      </c>
      <c r="B222" t="s">
        <v>328</v>
      </c>
      <c r="C222" t="s">
        <v>1115</v>
      </c>
      <c r="D222" t="s">
        <v>1124</v>
      </c>
      <c r="E222">
        <v>37.36</v>
      </c>
      <c r="F222">
        <v>646518</v>
      </c>
      <c r="G222" t="s">
        <v>1131</v>
      </c>
      <c r="H222" t="s">
        <v>1133</v>
      </c>
    </row>
    <row r="223" spans="1:8" x14ac:dyDescent="0.25">
      <c r="A223" t="s">
        <v>16</v>
      </c>
      <c r="B223" t="s">
        <v>329</v>
      </c>
      <c r="C223" t="s">
        <v>1117</v>
      </c>
      <c r="D223" t="s">
        <v>1127</v>
      </c>
      <c r="E223">
        <v>90.3</v>
      </c>
      <c r="F223">
        <v>444033</v>
      </c>
      <c r="G223" t="s">
        <v>1128</v>
      </c>
      <c r="H223" t="s">
        <v>1133</v>
      </c>
    </row>
    <row r="224" spans="1:8" x14ac:dyDescent="0.25">
      <c r="A224" t="s">
        <v>23</v>
      </c>
      <c r="B224" t="s">
        <v>330</v>
      </c>
      <c r="C224" t="s">
        <v>1115</v>
      </c>
      <c r="D224" t="s">
        <v>1123</v>
      </c>
      <c r="E224">
        <v>41.67</v>
      </c>
      <c r="F224">
        <v>984262</v>
      </c>
      <c r="G224" t="s">
        <v>1128</v>
      </c>
      <c r="H224" t="s">
        <v>1133</v>
      </c>
    </row>
    <row r="225" spans="1:8" x14ac:dyDescent="0.25">
      <c r="A225" t="s">
        <v>65</v>
      </c>
      <c r="B225" t="s">
        <v>331</v>
      </c>
      <c r="C225" t="s">
        <v>1109</v>
      </c>
      <c r="D225" t="s">
        <v>1126</v>
      </c>
      <c r="E225">
        <v>74.03</v>
      </c>
      <c r="F225">
        <v>441126</v>
      </c>
      <c r="G225" t="s">
        <v>1132</v>
      </c>
      <c r="H225" t="s">
        <v>1134</v>
      </c>
    </row>
    <row r="226" spans="1:8" x14ac:dyDescent="0.25">
      <c r="A226" t="s">
        <v>23</v>
      </c>
      <c r="B226" t="s">
        <v>332</v>
      </c>
      <c r="C226" t="s">
        <v>1115</v>
      </c>
      <c r="D226" t="s">
        <v>1121</v>
      </c>
      <c r="E226">
        <v>55.9</v>
      </c>
      <c r="F226">
        <v>520566</v>
      </c>
      <c r="G226" t="s">
        <v>1128</v>
      </c>
      <c r="H226" t="s">
        <v>1133</v>
      </c>
    </row>
    <row r="227" spans="1:8" x14ac:dyDescent="0.25">
      <c r="A227" t="s">
        <v>91</v>
      </c>
      <c r="B227" t="s">
        <v>333</v>
      </c>
      <c r="C227" t="s">
        <v>1108</v>
      </c>
      <c r="D227" t="s">
        <v>1127</v>
      </c>
      <c r="E227">
        <v>35.82</v>
      </c>
      <c r="F227">
        <v>749258</v>
      </c>
      <c r="G227" t="s">
        <v>1129</v>
      </c>
      <c r="H227" t="s">
        <v>1133</v>
      </c>
    </row>
    <row r="228" spans="1:8" x14ac:dyDescent="0.25">
      <c r="A228" t="s">
        <v>66</v>
      </c>
      <c r="B228" t="s">
        <v>334</v>
      </c>
      <c r="C228" t="s">
        <v>1112</v>
      </c>
      <c r="D228" t="s">
        <v>1119</v>
      </c>
      <c r="E228">
        <v>74.849999999999994</v>
      </c>
      <c r="F228">
        <v>740450</v>
      </c>
      <c r="G228" t="s">
        <v>1128</v>
      </c>
      <c r="H228" t="s">
        <v>1133</v>
      </c>
    </row>
    <row r="229" spans="1:8" x14ac:dyDescent="0.25">
      <c r="A229" t="s">
        <v>54</v>
      </c>
      <c r="B229" t="s">
        <v>335</v>
      </c>
      <c r="C229" t="s">
        <v>1117</v>
      </c>
      <c r="D229" t="s">
        <v>1125</v>
      </c>
      <c r="E229">
        <v>92.13</v>
      </c>
      <c r="F229">
        <v>798652</v>
      </c>
      <c r="G229" t="s">
        <v>1132</v>
      </c>
      <c r="H229" t="s">
        <v>1134</v>
      </c>
    </row>
    <row r="230" spans="1:8" x14ac:dyDescent="0.25">
      <c r="A230" t="s">
        <v>57</v>
      </c>
      <c r="B230" t="s">
        <v>336</v>
      </c>
      <c r="C230" t="s">
        <v>1108</v>
      </c>
      <c r="D230" t="s">
        <v>1119</v>
      </c>
      <c r="E230">
        <v>98.84</v>
      </c>
      <c r="F230">
        <v>163288</v>
      </c>
      <c r="G230" t="s">
        <v>1128</v>
      </c>
      <c r="H230" t="s">
        <v>1133</v>
      </c>
    </row>
    <row r="231" spans="1:8" x14ac:dyDescent="0.25">
      <c r="A231" t="s">
        <v>22</v>
      </c>
      <c r="B231" t="s">
        <v>337</v>
      </c>
      <c r="C231" t="s">
        <v>1111</v>
      </c>
      <c r="D231" t="s">
        <v>1122</v>
      </c>
      <c r="E231">
        <v>40.75</v>
      </c>
      <c r="F231">
        <v>938993</v>
      </c>
      <c r="G231" t="s">
        <v>1132</v>
      </c>
      <c r="H231" t="s">
        <v>1133</v>
      </c>
    </row>
    <row r="232" spans="1:8" x14ac:dyDescent="0.25">
      <c r="A232" t="s">
        <v>92</v>
      </c>
      <c r="B232" t="s">
        <v>338</v>
      </c>
      <c r="C232" t="s">
        <v>1116</v>
      </c>
      <c r="D232" t="s">
        <v>1127</v>
      </c>
      <c r="E232">
        <v>95.73</v>
      </c>
      <c r="F232">
        <v>259407</v>
      </c>
      <c r="G232" t="s">
        <v>1128</v>
      </c>
      <c r="H232" t="s">
        <v>1133</v>
      </c>
    </row>
    <row r="233" spans="1:8" x14ac:dyDescent="0.25">
      <c r="A233" t="s">
        <v>42</v>
      </c>
      <c r="B233" t="s">
        <v>339</v>
      </c>
      <c r="C233" t="s">
        <v>1116</v>
      </c>
      <c r="D233" t="s">
        <v>1125</v>
      </c>
      <c r="E233">
        <v>79.650000000000006</v>
      </c>
      <c r="F233">
        <v>261345</v>
      </c>
      <c r="G233" t="s">
        <v>1132</v>
      </c>
      <c r="H233" t="s">
        <v>1133</v>
      </c>
    </row>
    <row r="234" spans="1:8" x14ac:dyDescent="0.25">
      <c r="A234" t="s">
        <v>23</v>
      </c>
      <c r="B234" t="s">
        <v>340</v>
      </c>
      <c r="C234" t="s">
        <v>1117</v>
      </c>
      <c r="D234" t="s">
        <v>1127</v>
      </c>
      <c r="E234">
        <v>82.3</v>
      </c>
      <c r="F234">
        <v>509332</v>
      </c>
      <c r="G234" t="s">
        <v>1131</v>
      </c>
      <c r="H234" t="s">
        <v>1134</v>
      </c>
    </row>
    <row r="235" spans="1:8" x14ac:dyDescent="0.25">
      <c r="A235" t="s">
        <v>61</v>
      </c>
      <c r="B235" t="s">
        <v>341</v>
      </c>
      <c r="C235" t="s">
        <v>1109</v>
      </c>
      <c r="D235" t="s">
        <v>1123</v>
      </c>
      <c r="E235">
        <v>97.48</v>
      </c>
      <c r="F235">
        <v>453541</v>
      </c>
      <c r="G235" t="s">
        <v>1129</v>
      </c>
      <c r="H235" t="s">
        <v>1134</v>
      </c>
    </row>
    <row r="236" spans="1:8" x14ac:dyDescent="0.25">
      <c r="A236" t="s">
        <v>91</v>
      </c>
      <c r="B236" t="s">
        <v>342</v>
      </c>
      <c r="C236" t="s">
        <v>1113</v>
      </c>
      <c r="D236" t="s">
        <v>1126</v>
      </c>
      <c r="E236">
        <v>59.28</v>
      </c>
      <c r="F236">
        <v>563628</v>
      </c>
      <c r="G236" t="s">
        <v>1131</v>
      </c>
      <c r="H236" t="s">
        <v>1133</v>
      </c>
    </row>
    <row r="237" spans="1:8" x14ac:dyDescent="0.25">
      <c r="A237" t="s">
        <v>91</v>
      </c>
      <c r="B237" t="s">
        <v>343</v>
      </c>
      <c r="C237" t="s">
        <v>1115</v>
      </c>
      <c r="D237" t="s">
        <v>1118</v>
      </c>
      <c r="E237">
        <v>78.16</v>
      </c>
      <c r="F237">
        <v>397027</v>
      </c>
      <c r="G237" t="s">
        <v>1130</v>
      </c>
      <c r="H237" t="s">
        <v>1134</v>
      </c>
    </row>
    <row r="238" spans="1:8" x14ac:dyDescent="0.25">
      <c r="A238" t="s">
        <v>47</v>
      </c>
      <c r="B238" t="s">
        <v>344</v>
      </c>
      <c r="C238" t="s">
        <v>1108</v>
      </c>
      <c r="D238" t="s">
        <v>1121</v>
      </c>
      <c r="E238">
        <v>78.53</v>
      </c>
      <c r="F238">
        <v>873289</v>
      </c>
      <c r="G238" t="s">
        <v>1128</v>
      </c>
      <c r="H238" t="s">
        <v>1134</v>
      </c>
    </row>
    <row r="239" spans="1:8" x14ac:dyDescent="0.25">
      <c r="A239" t="s">
        <v>65</v>
      </c>
      <c r="B239" t="s">
        <v>345</v>
      </c>
      <c r="C239" t="s">
        <v>1114</v>
      </c>
      <c r="D239" t="s">
        <v>1120</v>
      </c>
      <c r="E239">
        <v>84.39</v>
      </c>
      <c r="F239">
        <v>543367</v>
      </c>
      <c r="G239" t="s">
        <v>1128</v>
      </c>
      <c r="H239" t="s">
        <v>1134</v>
      </c>
    </row>
    <row r="240" spans="1:8" x14ac:dyDescent="0.25">
      <c r="A240" t="s">
        <v>28</v>
      </c>
      <c r="B240" t="s">
        <v>346</v>
      </c>
      <c r="C240" t="s">
        <v>1115</v>
      </c>
      <c r="D240" t="s">
        <v>1125</v>
      </c>
      <c r="E240">
        <v>44.36</v>
      </c>
      <c r="F240">
        <v>374896</v>
      </c>
      <c r="G240" t="s">
        <v>1128</v>
      </c>
      <c r="H240" t="s">
        <v>1133</v>
      </c>
    </row>
    <row r="241" spans="1:8" x14ac:dyDescent="0.25">
      <c r="A241" t="s">
        <v>62</v>
      </c>
      <c r="B241" t="s">
        <v>347</v>
      </c>
      <c r="C241" t="s">
        <v>1116</v>
      </c>
      <c r="D241" t="s">
        <v>1121</v>
      </c>
      <c r="E241">
        <v>55.72</v>
      </c>
      <c r="F241">
        <v>604047</v>
      </c>
      <c r="G241" t="s">
        <v>1132</v>
      </c>
      <c r="H241" t="s">
        <v>1134</v>
      </c>
    </row>
    <row r="242" spans="1:8" x14ac:dyDescent="0.25">
      <c r="A242" t="s">
        <v>50</v>
      </c>
      <c r="B242" t="s">
        <v>348</v>
      </c>
      <c r="C242" t="s">
        <v>1115</v>
      </c>
      <c r="D242" t="s">
        <v>1125</v>
      </c>
      <c r="E242">
        <v>97.29</v>
      </c>
      <c r="F242">
        <v>615543</v>
      </c>
      <c r="G242" t="s">
        <v>1131</v>
      </c>
      <c r="H242" t="s">
        <v>1133</v>
      </c>
    </row>
    <row r="243" spans="1:8" x14ac:dyDescent="0.25">
      <c r="A243" t="s">
        <v>72</v>
      </c>
      <c r="B243" t="s">
        <v>349</v>
      </c>
      <c r="C243" t="s">
        <v>1115</v>
      </c>
      <c r="D243" t="s">
        <v>1119</v>
      </c>
      <c r="E243">
        <v>51.88</v>
      </c>
      <c r="F243">
        <v>572395</v>
      </c>
      <c r="G243" t="s">
        <v>1131</v>
      </c>
      <c r="H243" t="s">
        <v>1133</v>
      </c>
    </row>
    <row r="244" spans="1:8" x14ac:dyDescent="0.25">
      <c r="A244" t="s">
        <v>32</v>
      </c>
      <c r="B244" t="s">
        <v>350</v>
      </c>
      <c r="C244" t="s">
        <v>1114</v>
      </c>
      <c r="D244" t="s">
        <v>1120</v>
      </c>
      <c r="E244">
        <v>83.48</v>
      </c>
      <c r="F244">
        <v>212661</v>
      </c>
      <c r="G244" t="s">
        <v>1128</v>
      </c>
      <c r="H244" t="s">
        <v>1134</v>
      </c>
    </row>
    <row r="245" spans="1:8" x14ac:dyDescent="0.25">
      <c r="A245" t="s">
        <v>30</v>
      </c>
      <c r="B245" t="s">
        <v>351</v>
      </c>
      <c r="C245" t="s">
        <v>1117</v>
      </c>
      <c r="D245" t="s">
        <v>1119</v>
      </c>
      <c r="E245">
        <v>35.630000000000003</v>
      </c>
      <c r="F245">
        <v>505131</v>
      </c>
      <c r="G245" t="s">
        <v>1132</v>
      </c>
      <c r="H245" t="s">
        <v>1133</v>
      </c>
    </row>
    <row r="246" spans="1:8" x14ac:dyDescent="0.25">
      <c r="A246" t="s">
        <v>60</v>
      </c>
      <c r="B246" t="s">
        <v>352</v>
      </c>
      <c r="C246" t="s">
        <v>1116</v>
      </c>
      <c r="D246" t="s">
        <v>1125</v>
      </c>
      <c r="E246">
        <v>81.739999999999995</v>
      </c>
      <c r="F246">
        <v>824812</v>
      </c>
      <c r="G246" t="s">
        <v>1130</v>
      </c>
      <c r="H246" t="s">
        <v>1133</v>
      </c>
    </row>
    <row r="247" spans="1:8" x14ac:dyDescent="0.25">
      <c r="A247" t="s">
        <v>52</v>
      </c>
      <c r="B247" t="s">
        <v>353</v>
      </c>
      <c r="C247" t="s">
        <v>1109</v>
      </c>
      <c r="D247" t="s">
        <v>1123</v>
      </c>
      <c r="E247">
        <v>94.42</v>
      </c>
      <c r="F247">
        <v>763998</v>
      </c>
      <c r="G247" t="s">
        <v>1128</v>
      </c>
      <c r="H247" t="s">
        <v>1133</v>
      </c>
    </row>
    <row r="248" spans="1:8" x14ac:dyDescent="0.25">
      <c r="A248" t="s">
        <v>58</v>
      </c>
      <c r="B248" t="s">
        <v>354</v>
      </c>
      <c r="C248" t="s">
        <v>1111</v>
      </c>
      <c r="D248" t="s">
        <v>1127</v>
      </c>
      <c r="E248">
        <v>78.87</v>
      </c>
      <c r="F248">
        <v>623111</v>
      </c>
      <c r="G248" t="s">
        <v>1132</v>
      </c>
      <c r="H248" t="s">
        <v>1133</v>
      </c>
    </row>
    <row r="249" spans="1:8" x14ac:dyDescent="0.25">
      <c r="A249" t="s">
        <v>29</v>
      </c>
      <c r="B249" t="s">
        <v>355</v>
      </c>
      <c r="C249" t="s">
        <v>1113</v>
      </c>
      <c r="D249" t="s">
        <v>1120</v>
      </c>
      <c r="E249">
        <v>62.32</v>
      </c>
      <c r="F249">
        <v>907166</v>
      </c>
      <c r="G249" t="s">
        <v>1128</v>
      </c>
      <c r="H249" t="s">
        <v>1133</v>
      </c>
    </row>
    <row r="250" spans="1:8" x14ac:dyDescent="0.25">
      <c r="A250" t="s">
        <v>29</v>
      </c>
      <c r="B250" t="s">
        <v>356</v>
      </c>
      <c r="C250" t="s">
        <v>1109</v>
      </c>
      <c r="D250" t="s">
        <v>1124</v>
      </c>
      <c r="E250">
        <v>67.069999999999993</v>
      </c>
      <c r="F250">
        <v>153897</v>
      </c>
      <c r="G250" t="s">
        <v>1128</v>
      </c>
      <c r="H250" t="s">
        <v>1133</v>
      </c>
    </row>
    <row r="251" spans="1:8" x14ac:dyDescent="0.25">
      <c r="A251" t="s">
        <v>33</v>
      </c>
      <c r="B251" t="s">
        <v>357</v>
      </c>
      <c r="C251" t="s">
        <v>1114</v>
      </c>
      <c r="D251" t="s">
        <v>1121</v>
      </c>
      <c r="E251">
        <v>99.55</v>
      </c>
      <c r="F251">
        <v>890976</v>
      </c>
      <c r="G251" t="s">
        <v>1132</v>
      </c>
      <c r="H251" t="s">
        <v>1133</v>
      </c>
    </row>
    <row r="252" spans="1:8" x14ac:dyDescent="0.25">
      <c r="A252" t="s">
        <v>93</v>
      </c>
      <c r="B252" t="s">
        <v>358</v>
      </c>
      <c r="C252" t="s">
        <v>1114</v>
      </c>
      <c r="D252" t="s">
        <v>1126</v>
      </c>
      <c r="E252">
        <v>42.61</v>
      </c>
      <c r="F252">
        <v>651103</v>
      </c>
      <c r="G252" t="s">
        <v>1131</v>
      </c>
      <c r="H252" t="s">
        <v>1134</v>
      </c>
    </row>
    <row r="253" spans="1:8" x14ac:dyDescent="0.25">
      <c r="A253" t="s">
        <v>16</v>
      </c>
      <c r="B253" t="s">
        <v>359</v>
      </c>
      <c r="C253" t="s">
        <v>1111</v>
      </c>
      <c r="D253" t="s">
        <v>1119</v>
      </c>
      <c r="E253">
        <v>48.8</v>
      </c>
      <c r="F253">
        <v>754323</v>
      </c>
      <c r="G253" t="s">
        <v>1131</v>
      </c>
      <c r="H253" t="s">
        <v>1133</v>
      </c>
    </row>
    <row r="254" spans="1:8" x14ac:dyDescent="0.25">
      <c r="A254" t="s">
        <v>92</v>
      </c>
      <c r="B254" t="s">
        <v>360</v>
      </c>
      <c r="C254" t="s">
        <v>1115</v>
      </c>
      <c r="D254" t="s">
        <v>1123</v>
      </c>
      <c r="E254">
        <v>80.739999999999995</v>
      </c>
      <c r="F254">
        <v>870323</v>
      </c>
      <c r="G254" t="s">
        <v>1129</v>
      </c>
      <c r="H254" t="s">
        <v>1134</v>
      </c>
    </row>
    <row r="255" spans="1:8" x14ac:dyDescent="0.25">
      <c r="A255" t="s">
        <v>57</v>
      </c>
      <c r="B255" t="s">
        <v>361</v>
      </c>
      <c r="C255" t="s">
        <v>1116</v>
      </c>
      <c r="D255" t="s">
        <v>1120</v>
      </c>
      <c r="E255">
        <v>91.15</v>
      </c>
      <c r="F255">
        <v>558812</v>
      </c>
      <c r="G255" t="s">
        <v>1130</v>
      </c>
      <c r="H255" t="s">
        <v>1133</v>
      </c>
    </row>
    <row r="256" spans="1:8" x14ac:dyDescent="0.25">
      <c r="A256" t="s">
        <v>17</v>
      </c>
      <c r="B256" t="s">
        <v>362</v>
      </c>
      <c r="C256" t="s">
        <v>1108</v>
      </c>
      <c r="D256" t="s">
        <v>1125</v>
      </c>
      <c r="E256">
        <v>84.7</v>
      </c>
      <c r="F256">
        <v>294071</v>
      </c>
      <c r="G256" t="s">
        <v>1130</v>
      </c>
      <c r="H256" t="s">
        <v>1133</v>
      </c>
    </row>
    <row r="257" spans="1:8" x14ac:dyDescent="0.25">
      <c r="A257" t="s">
        <v>17</v>
      </c>
      <c r="B257" t="s">
        <v>363</v>
      </c>
      <c r="C257" t="s">
        <v>1112</v>
      </c>
      <c r="D257" t="s">
        <v>1120</v>
      </c>
      <c r="E257">
        <v>62.05</v>
      </c>
      <c r="F257">
        <v>958906</v>
      </c>
      <c r="G257" t="s">
        <v>1128</v>
      </c>
      <c r="H257" t="s">
        <v>1134</v>
      </c>
    </row>
    <row r="258" spans="1:8" x14ac:dyDescent="0.25">
      <c r="A258" t="s">
        <v>56</v>
      </c>
      <c r="B258" t="s">
        <v>364</v>
      </c>
      <c r="C258" t="s">
        <v>1111</v>
      </c>
      <c r="D258" t="s">
        <v>1124</v>
      </c>
      <c r="E258">
        <v>41.19</v>
      </c>
      <c r="F258">
        <v>365899</v>
      </c>
      <c r="G258" t="s">
        <v>1129</v>
      </c>
      <c r="H258" t="s">
        <v>1133</v>
      </c>
    </row>
    <row r="259" spans="1:8" x14ac:dyDescent="0.25">
      <c r="A259" t="s">
        <v>31</v>
      </c>
      <c r="B259" t="s">
        <v>365</v>
      </c>
      <c r="C259" t="s">
        <v>1112</v>
      </c>
      <c r="D259" t="s">
        <v>1121</v>
      </c>
      <c r="E259">
        <v>42.27</v>
      </c>
      <c r="F259">
        <v>599012</v>
      </c>
      <c r="G259" t="s">
        <v>1132</v>
      </c>
      <c r="H259" t="s">
        <v>1133</v>
      </c>
    </row>
    <row r="260" spans="1:8" x14ac:dyDescent="0.25">
      <c r="A260" t="s">
        <v>94</v>
      </c>
      <c r="B260" t="s">
        <v>366</v>
      </c>
      <c r="C260" t="s">
        <v>1115</v>
      </c>
      <c r="D260" t="s">
        <v>1125</v>
      </c>
      <c r="E260">
        <v>56.93</v>
      </c>
      <c r="F260">
        <v>736457</v>
      </c>
      <c r="G260" t="s">
        <v>1130</v>
      </c>
      <c r="H260" t="s">
        <v>1133</v>
      </c>
    </row>
    <row r="261" spans="1:8" x14ac:dyDescent="0.25">
      <c r="A261" t="s">
        <v>28</v>
      </c>
      <c r="B261" t="s">
        <v>367</v>
      </c>
      <c r="C261" t="s">
        <v>1115</v>
      </c>
      <c r="D261" t="s">
        <v>1127</v>
      </c>
      <c r="E261">
        <v>42.83</v>
      </c>
      <c r="F261">
        <v>441315</v>
      </c>
      <c r="G261" t="s">
        <v>1131</v>
      </c>
      <c r="H261" t="s">
        <v>1134</v>
      </c>
    </row>
    <row r="262" spans="1:8" x14ac:dyDescent="0.25">
      <c r="A262" t="s">
        <v>95</v>
      </c>
      <c r="B262" t="s">
        <v>368</v>
      </c>
      <c r="C262" t="s">
        <v>1116</v>
      </c>
      <c r="D262" t="s">
        <v>1126</v>
      </c>
      <c r="E262">
        <v>82.59</v>
      </c>
      <c r="F262">
        <v>622282</v>
      </c>
      <c r="G262" t="s">
        <v>1131</v>
      </c>
      <c r="H262" t="s">
        <v>1133</v>
      </c>
    </row>
    <row r="263" spans="1:8" x14ac:dyDescent="0.25">
      <c r="A263" t="s">
        <v>75</v>
      </c>
      <c r="B263" t="s">
        <v>369</v>
      </c>
      <c r="C263" t="s">
        <v>1116</v>
      </c>
      <c r="D263" t="s">
        <v>1121</v>
      </c>
      <c r="E263">
        <v>62.54</v>
      </c>
      <c r="F263">
        <v>536088</v>
      </c>
      <c r="G263" t="s">
        <v>1132</v>
      </c>
      <c r="H263" t="s">
        <v>1133</v>
      </c>
    </row>
    <row r="264" spans="1:8" x14ac:dyDescent="0.25">
      <c r="A264" t="s">
        <v>25</v>
      </c>
      <c r="B264" t="s">
        <v>370</v>
      </c>
      <c r="C264" t="s">
        <v>1114</v>
      </c>
      <c r="D264" t="s">
        <v>1123</v>
      </c>
      <c r="E264">
        <v>52.9</v>
      </c>
      <c r="F264">
        <v>198312</v>
      </c>
      <c r="G264" t="s">
        <v>1131</v>
      </c>
      <c r="H264" t="s">
        <v>1134</v>
      </c>
    </row>
    <row r="265" spans="1:8" x14ac:dyDescent="0.25">
      <c r="A265" t="s">
        <v>91</v>
      </c>
      <c r="B265" t="s">
        <v>371</v>
      </c>
      <c r="C265" t="s">
        <v>1117</v>
      </c>
      <c r="D265" t="s">
        <v>1124</v>
      </c>
      <c r="E265">
        <v>75.58</v>
      </c>
      <c r="F265">
        <v>864858</v>
      </c>
      <c r="G265" t="s">
        <v>1130</v>
      </c>
      <c r="H265" t="s">
        <v>1134</v>
      </c>
    </row>
    <row r="266" spans="1:8" x14ac:dyDescent="0.25">
      <c r="A266" t="s">
        <v>21</v>
      </c>
      <c r="B266" t="s">
        <v>372</v>
      </c>
      <c r="C266" t="s">
        <v>1112</v>
      </c>
      <c r="D266" t="s">
        <v>1127</v>
      </c>
      <c r="E266">
        <v>35.15</v>
      </c>
      <c r="F266">
        <v>841057</v>
      </c>
      <c r="G266" t="s">
        <v>1131</v>
      </c>
      <c r="H266" t="s">
        <v>1133</v>
      </c>
    </row>
    <row r="267" spans="1:8" x14ac:dyDescent="0.25">
      <c r="A267" t="s">
        <v>90</v>
      </c>
      <c r="B267" t="s">
        <v>373</v>
      </c>
      <c r="C267" t="s">
        <v>1117</v>
      </c>
      <c r="D267" t="s">
        <v>1119</v>
      </c>
      <c r="E267">
        <v>78.89</v>
      </c>
      <c r="F267">
        <v>635499</v>
      </c>
      <c r="G267" t="s">
        <v>1131</v>
      </c>
      <c r="H267" t="s">
        <v>1133</v>
      </c>
    </row>
    <row r="268" spans="1:8" x14ac:dyDescent="0.25">
      <c r="A268" t="s">
        <v>90</v>
      </c>
      <c r="B268" t="s">
        <v>374</v>
      </c>
      <c r="C268" t="s">
        <v>1116</v>
      </c>
      <c r="D268" t="s">
        <v>1126</v>
      </c>
      <c r="E268">
        <v>48.29</v>
      </c>
      <c r="F268">
        <v>516400</v>
      </c>
      <c r="G268" t="s">
        <v>1132</v>
      </c>
      <c r="H268" t="s">
        <v>1133</v>
      </c>
    </row>
    <row r="269" spans="1:8" x14ac:dyDescent="0.25">
      <c r="A269" t="s">
        <v>34</v>
      </c>
      <c r="B269" t="s">
        <v>375</v>
      </c>
      <c r="C269" t="s">
        <v>1112</v>
      </c>
      <c r="D269" t="s">
        <v>1122</v>
      </c>
      <c r="E269">
        <v>59.61</v>
      </c>
      <c r="F269">
        <v>221154</v>
      </c>
      <c r="G269" t="s">
        <v>1132</v>
      </c>
      <c r="H269" t="s">
        <v>1133</v>
      </c>
    </row>
    <row r="270" spans="1:8" x14ac:dyDescent="0.25">
      <c r="A270" t="s">
        <v>74</v>
      </c>
      <c r="B270" t="s">
        <v>376</v>
      </c>
      <c r="C270" t="s">
        <v>1114</v>
      </c>
      <c r="D270" t="s">
        <v>1127</v>
      </c>
      <c r="E270">
        <v>48.25</v>
      </c>
      <c r="F270">
        <v>424014</v>
      </c>
      <c r="G270" t="s">
        <v>1130</v>
      </c>
      <c r="H270" t="s">
        <v>1133</v>
      </c>
    </row>
    <row r="271" spans="1:8" x14ac:dyDescent="0.25">
      <c r="A271" t="s">
        <v>21</v>
      </c>
      <c r="B271" t="s">
        <v>377</v>
      </c>
      <c r="C271" t="s">
        <v>1117</v>
      </c>
      <c r="D271" t="s">
        <v>1125</v>
      </c>
      <c r="E271">
        <v>82.38</v>
      </c>
      <c r="F271">
        <v>181976</v>
      </c>
      <c r="G271" t="s">
        <v>1132</v>
      </c>
      <c r="H271" t="s">
        <v>1133</v>
      </c>
    </row>
    <row r="272" spans="1:8" x14ac:dyDescent="0.25">
      <c r="A272" t="s">
        <v>16</v>
      </c>
      <c r="B272" t="s">
        <v>378</v>
      </c>
      <c r="C272" t="s">
        <v>1111</v>
      </c>
      <c r="D272" t="s">
        <v>1127</v>
      </c>
      <c r="E272">
        <v>68.52</v>
      </c>
      <c r="F272">
        <v>646820</v>
      </c>
      <c r="G272" t="s">
        <v>1131</v>
      </c>
      <c r="H272" t="s">
        <v>1134</v>
      </c>
    </row>
    <row r="273" spans="1:8" x14ac:dyDescent="0.25">
      <c r="A273" t="s">
        <v>72</v>
      </c>
      <c r="B273" t="s">
        <v>379</v>
      </c>
      <c r="C273" t="s">
        <v>1110</v>
      </c>
      <c r="D273" t="s">
        <v>1123</v>
      </c>
      <c r="E273">
        <v>55.29</v>
      </c>
      <c r="F273">
        <v>684458</v>
      </c>
      <c r="G273" t="s">
        <v>1131</v>
      </c>
      <c r="H273" t="s">
        <v>1133</v>
      </c>
    </row>
    <row r="274" spans="1:8" x14ac:dyDescent="0.25">
      <c r="A274" t="s">
        <v>85</v>
      </c>
      <c r="B274" t="s">
        <v>380</v>
      </c>
      <c r="C274" t="s">
        <v>1115</v>
      </c>
      <c r="D274" t="s">
        <v>1125</v>
      </c>
      <c r="E274">
        <v>41.38</v>
      </c>
      <c r="F274">
        <v>455590</v>
      </c>
      <c r="G274" t="s">
        <v>1132</v>
      </c>
      <c r="H274" t="s">
        <v>1133</v>
      </c>
    </row>
    <row r="275" spans="1:8" x14ac:dyDescent="0.25">
      <c r="A275" t="s">
        <v>37</v>
      </c>
      <c r="B275" t="s">
        <v>381</v>
      </c>
      <c r="C275" t="s">
        <v>1113</v>
      </c>
      <c r="D275" t="s">
        <v>1127</v>
      </c>
      <c r="E275">
        <v>62.23</v>
      </c>
      <c r="F275">
        <v>747501</v>
      </c>
      <c r="G275" t="s">
        <v>1132</v>
      </c>
      <c r="H275" t="s">
        <v>1133</v>
      </c>
    </row>
    <row r="276" spans="1:8" x14ac:dyDescent="0.25">
      <c r="A276" t="s">
        <v>67</v>
      </c>
      <c r="B276" t="s">
        <v>382</v>
      </c>
      <c r="C276" t="s">
        <v>1112</v>
      </c>
      <c r="D276" t="s">
        <v>1120</v>
      </c>
      <c r="E276">
        <v>86.26</v>
      </c>
      <c r="F276">
        <v>304757</v>
      </c>
      <c r="G276" t="s">
        <v>1131</v>
      </c>
      <c r="H276" t="s">
        <v>1133</v>
      </c>
    </row>
    <row r="277" spans="1:8" x14ac:dyDescent="0.25">
      <c r="A277" t="s">
        <v>32</v>
      </c>
      <c r="B277" t="s">
        <v>383</v>
      </c>
      <c r="C277" t="s">
        <v>1117</v>
      </c>
      <c r="D277" t="s">
        <v>1118</v>
      </c>
      <c r="E277">
        <v>91.93</v>
      </c>
      <c r="F277">
        <v>128471</v>
      </c>
      <c r="G277" t="s">
        <v>1131</v>
      </c>
      <c r="H277" t="s">
        <v>1133</v>
      </c>
    </row>
    <row r="278" spans="1:8" x14ac:dyDescent="0.25">
      <c r="A278" t="s">
        <v>10</v>
      </c>
      <c r="B278" t="s">
        <v>384</v>
      </c>
      <c r="C278" t="s">
        <v>1111</v>
      </c>
      <c r="D278" t="s">
        <v>1122</v>
      </c>
      <c r="E278">
        <v>67.77</v>
      </c>
      <c r="F278">
        <v>278335</v>
      </c>
      <c r="G278" t="s">
        <v>1128</v>
      </c>
      <c r="H278" t="s">
        <v>1133</v>
      </c>
    </row>
    <row r="279" spans="1:8" x14ac:dyDescent="0.25">
      <c r="A279" t="s">
        <v>63</v>
      </c>
      <c r="B279" t="s">
        <v>385</v>
      </c>
      <c r="C279" t="s">
        <v>1108</v>
      </c>
      <c r="D279" t="s">
        <v>1123</v>
      </c>
      <c r="E279">
        <v>52.71</v>
      </c>
      <c r="F279">
        <v>219249</v>
      </c>
      <c r="G279" t="s">
        <v>1128</v>
      </c>
      <c r="H279" t="s">
        <v>1133</v>
      </c>
    </row>
    <row r="280" spans="1:8" x14ac:dyDescent="0.25">
      <c r="A280" t="s">
        <v>37</v>
      </c>
      <c r="B280" t="s">
        <v>386</v>
      </c>
      <c r="C280" t="s">
        <v>1111</v>
      </c>
      <c r="D280" t="s">
        <v>1124</v>
      </c>
      <c r="E280">
        <v>93.45</v>
      </c>
      <c r="F280">
        <v>942924</v>
      </c>
      <c r="G280" t="s">
        <v>1131</v>
      </c>
      <c r="H280" t="s">
        <v>1133</v>
      </c>
    </row>
    <row r="281" spans="1:8" x14ac:dyDescent="0.25">
      <c r="A281" t="s">
        <v>64</v>
      </c>
      <c r="B281" t="s">
        <v>387</v>
      </c>
      <c r="C281" t="s">
        <v>1115</v>
      </c>
      <c r="D281" t="s">
        <v>1119</v>
      </c>
      <c r="E281">
        <v>87.97</v>
      </c>
      <c r="F281">
        <v>477075</v>
      </c>
      <c r="G281" t="s">
        <v>1130</v>
      </c>
      <c r="H281" t="s">
        <v>1133</v>
      </c>
    </row>
    <row r="282" spans="1:8" x14ac:dyDescent="0.25">
      <c r="A282" t="s">
        <v>71</v>
      </c>
      <c r="B282" t="s">
        <v>388</v>
      </c>
      <c r="C282" t="s">
        <v>1110</v>
      </c>
      <c r="D282" t="s">
        <v>1122</v>
      </c>
      <c r="E282">
        <v>91.49</v>
      </c>
      <c r="F282">
        <v>558798</v>
      </c>
      <c r="G282" t="s">
        <v>1130</v>
      </c>
      <c r="H282" t="s">
        <v>1133</v>
      </c>
    </row>
    <row r="283" spans="1:8" x14ac:dyDescent="0.25">
      <c r="A283" t="s">
        <v>25</v>
      </c>
      <c r="B283" t="s">
        <v>389</v>
      </c>
      <c r="C283" t="s">
        <v>1108</v>
      </c>
      <c r="D283" t="s">
        <v>1119</v>
      </c>
      <c r="E283">
        <v>82.03</v>
      </c>
      <c r="F283">
        <v>889117</v>
      </c>
      <c r="G283" t="s">
        <v>1128</v>
      </c>
      <c r="H283" t="s">
        <v>1133</v>
      </c>
    </row>
    <row r="284" spans="1:8" x14ac:dyDescent="0.25">
      <c r="A284" t="s">
        <v>96</v>
      </c>
      <c r="B284" t="s">
        <v>390</v>
      </c>
      <c r="C284" t="s">
        <v>1112</v>
      </c>
      <c r="D284" t="s">
        <v>1123</v>
      </c>
      <c r="E284">
        <v>91.2</v>
      </c>
      <c r="F284">
        <v>420522</v>
      </c>
      <c r="G284" t="s">
        <v>1130</v>
      </c>
      <c r="H284" t="s">
        <v>1133</v>
      </c>
    </row>
    <row r="285" spans="1:8" x14ac:dyDescent="0.25">
      <c r="A285" t="s">
        <v>97</v>
      </c>
      <c r="B285" t="s">
        <v>391</v>
      </c>
      <c r="C285" t="s">
        <v>1110</v>
      </c>
      <c r="D285" t="s">
        <v>1123</v>
      </c>
      <c r="E285">
        <v>59.89</v>
      </c>
      <c r="F285">
        <v>655849</v>
      </c>
      <c r="G285" t="s">
        <v>1131</v>
      </c>
      <c r="H285" t="s">
        <v>1134</v>
      </c>
    </row>
    <row r="286" spans="1:8" x14ac:dyDescent="0.25">
      <c r="A286" t="s">
        <v>98</v>
      </c>
      <c r="B286" t="s">
        <v>392</v>
      </c>
      <c r="C286" t="s">
        <v>1111</v>
      </c>
      <c r="D286" t="s">
        <v>1127</v>
      </c>
      <c r="E286">
        <v>58.11</v>
      </c>
      <c r="F286">
        <v>649155</v>
      </c>
      <c r="G286" t="s">
        <v>1131</v>
      </c>
      <c r="H286" t="s">
        <v>1133</v>
      </c>
    </row>
    <row r="287" spans="1:8" x14ac:dyDescent="0.25">
      <c r="A287" t="s">
        <v>89</v>
      </c>
      <c r="B287" t="s">
        <v>393</v>
      </c>
      <c r="C287" t="s">
        <v>1113</v>
      </c>
      <c r="D287" t="s">
        <v>1123</v>
      </c>
      <c r="E287">
        <v>59.03</v>
      </c>
      <c r="F287">
        <v>371932</v>
      </c>
      <c r="G287" t="s">
        <v>1129</v>
      </c>
      <c r="H287" t="s">
        <v>1133</v>
      </c>
    </row>
    <row r="288" spans="1:8" x14ac:dyDescent="0.25">
      <c r="A288" t="s">
        <v>74</v>
      </c>
      <c r="B288" t="s">
        <v>394</v>
      </c>
      <c r="C288" t="s">
        <v>1110</v>
      </c>
      <c r="D288" t="s">
        <v>1126</v>
      </c>
      <c r="E288">
        <v>35.770000000000003</v>
      </c>
      <c r="F288">
        <v>657696</v>
      </c>
      <c r="G288" t="s">
        <v>1131</v>
      </c>
      <c r="H288" t="s">
        <v>1134</v>
      </c>
    </row>
    <row r="289" spans="1:8" x14ac:dyDescent="0.25">
      <c r="A289" t="s">
        <v>97</v>
      </c>
      <c r="B289" t="s">
        <v>395</v>
      </c>
      <c r="C289" t="s">
        <v>1113</v>
      </c>
      <c r="D289" t="s">
        <v>1119</v>
      </c>
      <c r="E289">
        <v>36.32</v>
      </c>
      <c r="F289">
        <v>264149</v>
      </c>
      <c r="G289" t="s">
        <v>1131</v>
      </c>
      <c r="H289" t="s">
        <v>1133</v>
      </c>
    </row>
    <row r="290" spans="1:8" x14ac:dyDescent="0.25">
      <c r="A290" t="s">
        <v>23</v>
      </c>
      <c r="B290" t="s">
        <v>396</v>
      </c>
      <c r="C290" t="s">
        <v>1108</v>
      </c>
      <c r="D290" t="s">
        <v>1118</v>
      </c>
      <c r="E290">
        <v>45.35</v>
      </c>
      <c r="F290">
        <v>289082</v>
      </c>
      <c r="G290" t="s">
        <v>1132</v>
      </c>
      <c r="H290" t="s">
        <v>1133</v>
      </c>
    </row>
    <row r="291" spans="1:8" x14ac:dyDescent="0.25">
      <c r="A291" t="s">
        <v>69</v>
      </c>
      <c r="B291" t="s">
        <v>397</v>
      </c>
      <c r="C291" t="s">
        <v>1115</v>
      </c>
      <c r="D291" t="s">
        <v>1126</v>
      </c>
      <c r="E291">
        <v>62.5</v>
      </c>
      <c r="F291">
        <v>658514</v>
      </c>
      <c r="G291" t="s">
        <v>1130</v>
      </c>
      <c r="H291" t="s">
        <v>1133</v>
      </c>
    </row>
    <row r="292" spans="1:8" x14ac:dyDescent="0.25">
      <c r="A292" t="s">
        <v>47</v>
      </c>
      <c r="B292" t="s">
        <v>398</v>
      </c>
      <c r="C292" t="s">
        <v>1112</v>
      </c>
      <c r="D292" t="s">
        <v>1126</v>
      </c>
      <c r="E292">
        <v>49.96</v>
      </c>
      <c r="F292">
        <v>743999</v>
      </c>
      <c r="G292" t="s">
        <v>1130</v>
      </c>
      <c r="H292" t="s">
        <v>1133</v>
      </c>
    </row>
    <row r="293" spans="1:8" x14ac:dyDescent="0.25">
      <c r="A293" t="s">
        <v>37</v>
      </c>
      <c r="B293" t="s">
        <v>399</v>
      </c>
      <c r="C293" t="s">
        <v>1110</v>
      </c>
      <c r="D293" t="s">
        <v>1118</v>
      </c>
      <c r="E293">
        <v>55.62</v>
      </c>
      <c r="F293">
        <v>693631</v>
      </c>
      <c r="G293" t="s">
        <v>1132</v>
      </c>
      <c r="H293" t="s">
        <v>1133</v>
      </c>
    </row>
    <row r="294" spans="1:8" x14ac:dyDescent="0.25">
      <c r="A294" t="s">
        <v>69</v>
      </c>
      <c r="B294" t="s">
        <v>400</v>
      </c>
      <c r="C294" t="s">
        <v>1114</v>
      </c>
      <c r="D294" t="s">
        <v>1122</v>
      </c>
      <c r="E294">
        <v>82.14</v>
      </c>
      <c r="F294">
        <v>762198</v>
      </c>
      <c r="G294" t="s">
        <v>1128</v>
      </c>
      <c r="H294" t="s">
        <v>1134</v>
      </c>
    </row>
    <row r="295" spans="1:8" x14ac:dyDescent="0.25">
      <c r="A295" t="s">
        <v>80</v>
      </c>
      <c r="B295" t="s">
        <v>401</v>
      </c>
      <c r="C295" t="s">
        <v>1110</v>
      </c>
      <c r="D295" t="s">
        <v>1122</v>
      </c>
      <c r="E295">
        <v>92.24</v>
      </c>
      <c r="F295">
        <v>363861</v>
      </c>
      <c r="G295" t="s">
        <v>1130</v>
      </c>
      <c r="H295" t="s">
        <v>1133</v>
      </c>
    </row>
    <row r="296" spans="1:8" x14ac:dyDescent="0.25">
      <c r="A296" t="s">
        <v>98</v>
      </c>
      <c r="B296" t="s">
        <v>402</v>
      </c>
      <c r="C296" t="s">
        <v>1111</v>
      </c>
      <c r="D296" t="s">
        <v>1123</v>
      </c>
      <c r="E296">
        <v>46.57</v>
      </c>
      <c r="F296">
        <v>132678</v>
      </c>
      <c r="G296" t="s">
        <v>1131</v>
      </c>
      <c r="H296" t="s">
        <v>1133</v>
      </c>
    </row>
    <row r="297" spans="1:8" x14ac:dyDescent="0.25">
      <c r="A297" t="s">
        <v>41</v>
      </c>
      <c r="B297" t="s">
        <v>403</v>
      </c>
      <c r="C297" t="s">
        <v>1113</v>
      </c>
      <c r="D297" t="s">
        <v>1126</v>
      </c>
      <c r="E297">
        <v>97.39</v>
      </c>
      <c r="F297">
        <v>698152</v>
      </c>
      <c r="G297" t="s">
        <v>1131</v>
      </c>
      <c r="H297" t="s">
        <v>1133</v>
      </c>
    </row>
    <row r="298" spans="1:8" x14ac:dyDescent="0.25">
      <c r="A298" t="s">
        <v>88</v>
      </c>
      <c r="B298" t="s">
        <v>404</v>
      </c>
      <c r="C298" t="s">
        <v>1108</v>
      </c>
      <c r="D298" t="s">
        <v>1123</v>
      </c>
      <c r="E298">
        <v>62.61</v>
      </c>
      <c r="F298">
        <v>490273</v>
      </c>
      <c r="G298" t="s">
        <v>1132</v>
      </c>
      <c r="H298" t="s">
        <v>1133</v>
      </c>
    </row>
    <row r="299" spans="1:8" x14ac:dyDescent="0.25">
      <c r="A299" t="s">
        <v>93</v>
      </c>
      <c r="B299" t="s">
        <v>405</v>
      </c>
      <c r="C299" t="s">
        <v>1116</v>
      </c>
      <c r="D299" t="s">
        <v>1123</v>
      </c>
      <c r="E299">
        <v>69.34</v>
      </c>
      <c r="F299">
        <v>689074</v>
      </c>
      <c r="G299" t="s">
        <v>1130</v>
      </c>
      <c r="H299" t="s">
        <v>1134</v>
      </c>
    </row>
    <row r="300" spans="1:8" x14ac:dyDescent="0.25">
      <c r="A300" t="s">
        <v>29</v>
      </c>
      <c r="B300" t="s">
        <v>406</v>
      </c>
      <c r="C300" t="s">
        <v>1113</v>
      </c>
      <c r="D300" t="s">
        <v>1120</v>
      </c>
      <c r="E300">
        <v>80.05</v>
      </c>
      <c r="F300">
        <v>711753</v>
      </c>
      <c r="G300" t="s">
        <v>1132</v>
      </c>
      <c r="H300" t="s">
        <v>1134</v>
      </c>
    </row>
    <row r="301" spans="1:8" x14ac:dyDescent="0.25">
      <c r="A301" t="s">
        <v>22</v>
      </c>
      <c r="B301" t="s">
        <v>407</v>
      </c>
      <c r="C301" t="s">
        <v>1111</v>
      </c>
      <c r="D301" t="s">
        <v>1125</v>
      </c>
      <c r="E301">
        <v>36.54</v>
      </c>
      <c r="F301">
        <v>571168</v>
      </c>
      <c r="G301" t="s">
        <v>1132</v>
      </c>
      <c r="H301" t="s">
        <v>1134</v>
      </c>
    </row>
    <row r="302" spans="1:8" x14ac:dyDescent="0.25">
      <c r="A302" t="s">
        <v>99</v>
      </c>
      <c r="B302" t="s">
        <v>408</v>
      </c>
      <c r="C302" t="s">
        <v>1115</v>
      </c>
      <c r="D302" t="s">
        <v>1122</v>
      </c>
      <c r="E302">
        <v>52.09</v>
      </c>
      <c r="F302">
        <v>416314</v>
      </c>
      <c r="G302" t="s">
        <v>1131</v>
      </c>
      <c r="H302" t="s">
        <v>1133</v>
      </c>
    </row>
    <row r="303" spans="1:8" x14ac:dyDescent="0.25">
      <c r="A303" t="s">
        <v>45</v>
      </c>
      <c r="B303" t="s">
        <v>409</v>
      </c>
      <c r="C303" t="s">
        <v>1108</v>
      </c>
      <c r="D303" t="s">
        <v>1124</v>
      </c>
      <c r="E303">
        <v>99.18</v>
      </c>
      <c r="F303">
        <v>593966</v>
      </c>
      <c r="G303" t="s">
        <v>1128</v>
      </c>
      <c r="H303" t="s">
        <v>1134</v>
      </c>
    </row>
    <row r="304" spans="1:8" x14ac:dyDescent="0.25">
      <c r="A304" t="s">
        <v>41</v>
      </c>
      <c r="B304" t="s">
        <v>410</v>
      </c>
      <c r="C304" t="s">
        <v>1108</v>
      </c>
      <c r="D304" t="s">
        <v>1121</v>
      </c>
      <c r="E304">
        <v>80.760000000000005</v>
      </c>
      <c r="F304">
        <v>980173</v>
      </c>
      <c r="G304" t="s">
        <v>1132</v>
      </c>
      <c r="H304" t="s">
        <v>1133</v>
      </c>
    </row>
    <row r="305" spans="1:8" x14ac:dyDescent="0.25">
      <c r="A305" t="s">
        <v>99</v>
      </c>
      <c r="B305" t="s">
        <v>411</v>
      </c>
      <c r="C305" t="s">
        <v>1109</v>
      </c>
      <c r="D305" t="s">
        <v>1120</v>
      </c>
      <c r="E305">
        <v>74.150000000000006</v>
      </c>
      <c r="F305">
        <v>283700</v>
      </c>
      <c r="G305" t="s">
        <v>1132</v>
      </c>
      <c r="H305" t="s">
        <v>1133</v>
      </c>
    </row>
    <row r="306" spans="1:8" x14ac:dyDescent="0.25">
      <c r="A306" t="s">
        <v>77</v>
      </c>
      <c r="B306" t="s">
        <v>412</v>
      </c>
      <c r="C306" t="s">
        <v>1115</v>
      </c>
      <c r="D306" t="s">
        <v>1120</v>
      </c>
      <c r="E306">
        <v>49.79</v>
      </c>
      <c r="F306">
        <v>986323</v>
      </c>
      <c r="G306" t="s">
        <v>1131</v>
      </c>
      <c r="H306" t="s">
        <v>1133</v>
      </c>
    </row>
    <row r="307" spans="1:8" x14ac:dyDescent="0.25">
      <c r="A307" t="s">
        <v>52</v>
      </c>
      <c r="B307" t="s">
        <v>413</v>
      </c>
      <c r="C307" t="s">
        <v>1108</v>
      </c>
      <c r="D307" t="s">
        <v>1118</v>
      </c>
      <c r="E307">
        <v>41.47</v>
      </c>
      <c r="F307">
        <v>414035</v>
      </c>
      <c r="G307" t="s">
        <v>1131</v>
      </c>
      <c r="H307" t="s">
        <v>1134</v>
      </c>
    </row>
    <row r="308" spans="1:8" x14ac:dyDescent="0.25">
      <c r="A308" t="s">
        <v>47</v>
      </c>
      <c r="B308" t="s">
        <v>414</v>
      </c>
      <c r="C308" t="s">
        <v>1113</v>
      </c>
      <c r="D308" t="s">
        <v>1127</v>
      </c>
      <c r="E308">
        <v>90.77</v>
      </c>
      <c r="F308">
        <v>712717</v>
      </c>
      <c r="G308" t="s">
        <v>1130</v>
      </c>
      <c r="H308" t="s">
        <v>1133</v>
      </c>
    </row>
    <row r="309" spans="1:8" x14ac:dyDescent="0.25">
      <c r="A309" t="s">
        <v>28</v>
      </c>
      <c r="B309" t="s">
        <v>415</v>
      </c>
      <c r="C309" t="s">
        <v>1115</v>
      </c>
      <c r="D309" t="s">
        <v>1122</v>
      </c>
      <c r="E309">
        <v>73.040000000000006</v>
      </c>
      <c r="F309">
        <v>434581</v>
      </c>
      <c r="G309" t="s">
        <v>1132</v>
      </c>
      <c r="H309" t="s">
        <v>1133</v>
      </c>
    </row>
    <row r="310" spans="1:8" x14ac:dyDescent="0.25">
      <c r="A310" t="s">
        <v>27</v>
      </c>
      <c r="B310" t="s">
        <v>416</v>
      </c>
      <c r="C310" t="s">
        <v>1108</v>
      </c>
      <c r="D310" t="s">
        <v>1120</v>
      </c>
      <c r="E310">
        <v>52.87</v>
      </c>
      <c r="F310">
        <v>757027</v>
      </c>
      <c r="G310" t="s">
        <v>1131</v>
      </c>
      <c r="H310" t="s">
        <v>1134</v>
      </c>
    </row>
    <row r="311" spans="1:8" x14ac:dyDescent="0.25">
      <c r="A311" t="s">
        <v>50</v>
      </c>
      <c r="B311" t="s">
        <v>417</v>
      </c>
      <c r="C311" t="s">
        <v>1116</v>
      </c>
      <c r="D311" t="s">
        <v>1120</v>
      </c>
      <c r="E311">
        <v>51.28</v>
      </c>
      <c r="F311">
        <v>199594</v>
      </c>
      <c r="G311" t="s">
        <v>1132</v>
      </c>
      <c r="H311" t="s">
        <v>1133</v>
      </c>
    </row>
    <row r="312" spans="1:8" x14ac:dyDescent="0.25">
      <c r="A312" t="s">
        <v>69</v>
      </c>
      <c r="B312" t="s">
        <v>418</v>
      </c>
      <c r="C312" t="s">
        <v>1110</v>
      </c>
      <c r="D312" t="s">
        <v>1127</v>
      </c>
      <c r="E312">
        <v>72.11</v>
      </c>
      <c r="F312">
        <v>832088</v>
      </c>
      <c r="G312" t="s">
        <v>1129</v>
      </c>
      <c r="H312" t="s">
        <v>1134</v>
      </c>
    </row>
    <row r="313" spans="1:8" x14ac:dyDescent="0.25">
      <c r="A313" t="s">
        <v>81</v>
      </c>
      <c r="B313" t="s">
        <v>419</v>
      </c>
      <c r="C313" t="s">
        <v>1115</v>
      </c>
      <c r="D313" t="s">
        <v>1124</v>
      </c>
      <c r="E313">
        <v>96.73</v>
      </c>
      <c r="F313">
        <v>881181</v>
      </c>
      <c r="G313" t="s">
        <v>1130</v>
      </c>
      <c r="H313" t="s">
        <v>1133</v>
      </c>
    </row>
    <row r="314" spans="1:8" x14ac:dyDescent="0.25">
      <c r="A314" t="s">
        <v>100</v>
      </c>
      <c r="B314" t="s">
        <v>420</v>
      </c>
      <c r="C314" t="s">
        <v>1110</v>
      </c>
      <c r="D314" t="s">
        <v>1127</v>
      </c>
      <c r="E314">
        <v>58.07</v>
      </c>
      <c r="F314">
        <v>670906</v>
      </c>
      <c r="G314" t="s">
        <v>1128</v>
      </c>
      <c r="H314" t="s">
        <v>1133</v>
      </c>
    </row>
    <row r="315" spans="1:8" x14ac:dyDescent="0.25">
      <c r="A315" t="s">
        <v>85</v>
      </c>
      <c r="B315" t="s">
        <v>421</v>
      </c>
      <c r="C315" t="s">
        <v>1109</v>
      </c>
      <c r="D315" t="s">
        <v>1126</v>
      </c>
      <c r="E315">
        <v>54.6</v>
      </c>
      <c r="F315">
        <v>266752</v>
      </c>
      <c r="G315" t="s">
        <v>1130</v>
      </c>
      <c r="H315" t="s">
        <v>1134</v>
      </c>
    </row>
    <row r="316" spans="1:8" x14ac:dyDescent="0.25">
      <c r="A316" t="s">
        <v>75</v>
      </c>
      <c r="B316" t="s">
        <v>422</v>
      </c>
      <c r="C316" t="s">
        <v>1110</v>
      </c>
      <c r="D316" t="s">
        <v>1120</v>
      </c>
      <c r="E316">
        <v>96.48</v>
      </c>
      <c r="F316">
        <v>128482</v>
      </c>
      <c r="G316" t="s">
        <v>1129</v>
      </c>
      <c r="H316" t="s">
        <v>1133</v>
      </c>
    </row>
    <row r="317" spans="1:8" x14ac:dyDescent="0.25">
      <c r="A317" t="s">
        <v>101</v>
      </c>
      <c r="B317" t="s">
        <v>423</v>
      </c>
      <c r="C317" t="s">
        <v>1110</v>
      </c>
      <c r="D317" t="s">
        <v>1119</v>
      </c>
      <c r="E317">
        <v>44.37</v>
      </c>
      <c r="F317">
        <v>500843</v>
      </c>
      <c r="G317" t="s">
        <v>1128</v>
      </c>
      <c r="H317" t="s">
        <v>1133</v>
      </c>
    </row>
    <row r="318" spans="1:8" x14ac:dyDescent="0.25">
      <c r="A318" t="s">
        <v>19</v>
      </c>
      <c r="B318" t="s">
        <v>424</v>
      </c>
      <c r="C318" t="s">
        <v>1109</v>
      </c>
      <c r="D318" t="s">
        <v>1122</v>
      </c>
      <c r="E318">
        <v>75.5</v>
      </c>
      <c r="F318">
        <v>154433</v>
      </c>
      <c r="G318" t="s">
        <v>1128</v>
      </c>
      <c r="H318" t="s">
        <v>1133</v>
      </c>
    </row>
    <row r="319" spans="1:8" x14ac:dyDescent="0.25">
      <c r="A319" t="s">
        <v>21</v>
      </c>
      <c r="B319" t="s">
        <v>425</v>
      </c>
      <c r="C319" t="s">
        <v>1108</v>
      </c>
      <c r="D319" t="s">
        <v>1123</v>
      </c>
      <c r="E319">
        <v>97.61</v>
      </c>
      <c r="F319">
        <v>538531</v>
      </c>
      <c r="G319" t="s">
        <v>1129</v>
      </c>
      <c r="H319" t="s">
        <v>1133</v>
      </c>
    </row>
    <row r="320" spans="1:8" x14ac:dyDescent="0.25">
      <c r="A320" t="s">
        <v>57</v>
      </c>
      <c r="B320" t="s">
        <v>426</v>
      </c>
      <c r="C320" t="s">
        <v>1115</v>
      </c>
      <c r="D320" t="s">
        <v>1120</v>
      </c>
      <c r="E320">
        <v>67.81</v>
      </c>
      <c r="F320">
        <v>844261</v>
      </c>
      <c r="G320" t="s">
        <v>1128</v>
      </c>
      <c r="H320" t="s">
        <v>1133</v>
      </c>
    </row>
    <row r="321" spans="1:8" x14ac:dyDescent="0.25">
      <c r="A321" t="s">
        <v>9</v>
      </c>
      <c r="B321" t="s">
        <v>427</v>
      </c>
      <c r="C321" t="s">
        <v>1109</v>
      </c>
      <c r="D321" t="s">
        <v>1126</v>
      </c>
      <c r="E321">
        <v>56.47</v>
      </c>
      <c r="F321">
        <v>759718</v>
      </c>
      <c r="G321" t="s">
        <v>1130</v>
      </c>
      <c r="H321" t="s">
        <v>1133</v>
      </c>
    </row>
    <row r="322" spans="1:8" x14ac:dyDescent="0.25">
      <c r="A322" t="s">
        <v>41</v>
      </c>
      <c r="B322" t="s">
        <v>428</v>
      </c>
      <c r="C322" t="s">
        <v>1111</v>
      </c>
      <c r="D322" t="s">
        <v>1119</v>
      </c>
      <c r="E322">
        <v>36.46</v>
      </c>
      <c r="F322">
        <v>828328</v>
      </c>
      <c r="G322" t="s">
        <v>1129</v>
      </c>
      <c r="H322" t="s">
        <v>1134</v>
      </c>
    </row>
    <row r="323" spans="1:8" x14ac:dyDescent="0.25">
      <c r="A323" t="s">
        <v>35</v>
      </c>
      <c r="B323" t="s">
        <v>429</v>
      </c>
      <c r="C323" t="s">
        <v>1110</v>
      </c>
      <c r="D323" t="s">
        <v>1126</v>
      </c>
      <c r="E323">
        <v>56.84</v>
      </c>
      <c r="F323">
        <v>371078</v>
      </c>
      <c r="G323" t="s">
        <v>1132</v>
      </c>
      <c r="H323" t="s">
        <v>1133</v>
      </c>
    </row>
    <row r="324" spans="1:8" x14ac:dyDescent="0.25">
      <c r="A324" t="s">
        <v>32</v>
      </c>
      <c r="B324" t="s">
        <v>430</v>
      </c>
      <c r="C324" t="s">
        <v>1112</v>
      </c>
      <c r="D324" t="s">
        <v>1121</v>
      </c>
      <c r="E324">
        <v>82.69</v>
      </c>
      <c r="F324">
        <v>856417</v>
      </c>
      <c r="G324" t="s">
        <v>1132</v>
      </c>
      <c r="H324" t="s">
        <v>1133</v>
      </c>
    </row>
    <row r="325" spans="1:8" x14ac:dyDescent="0.25">
      <c r="A325" t="s">
        <v>100</v>
      </c>
      <c r="B325" t="s">
        <v>431</v>
      </c>
      <c r="C325" t="s">
        <v>1109</v>
      </c>
      <c r="D325" t="s">
        <v>1126</v>
      </c>
      <c r="E325">
        <v>75.62</v>
      </c>
      <c r="F325">
        <v>198553</v>
      </c>
      <c r="G325" t="s">
        <v>1130</v>
      </c>
      <c r="H325" t="s">
        <v>1134</v>
      </c>
    </row>
    <row r="326" spans="1:8" x14ac:dyDescent="0.25">
      <c r="A326" t="s">
        <v>25</v>
      </c>
      <c r="B326" t="s">
        <v>432</v>
      </c>
      <c r="C326" t="s">
        <v>1113</v>
      </c>
      <c r="D326" t="s">
        <v>1125</v>
      </c>
      <c r="E326">
        <v>75.239999999999995</v>
      </c>
      <c r="F326">
        <v>740723</v>
      </c>
      <c r="G326" t="s">
        <v>1128</v>
      </c>
      <c r="H326" t="s">
        <v>1133</v>
      </c>
    </row>
    <row r="327" spans="1:8" x14ac:dyDescent="0.25">
      <c r="A327" t="s">
        <v>43</v>
      </c>
      <c r="B327" t="s">
        <v>433</v>
      </c>
      <c r="C327" t="s">
        <v>1114</v>
      </c>
      <c r="D327" t="s">
        <v>1119</v>
      </c>
      <c r="E327">
        <v>57.18</v>
      </c>
      <c r="F327">
        <v>147215</v>
      </c>
      <c r="G327" t="s">
        <v>1130</v>
      </c>
      <c r="H327" t="s">
        <v>1133</v>
      </c>
    </row>
    <row r="328" spans="1:8" x14ac:dyDescent="0.25">
      <c r="A328" t="s">
        <v>94</v>
      </c>
      <c r="B328" t="s">
        <v>434</v>
      </c>
      <c r="C328" t="s">
        <v>1112</v>
      </c>
      <c r="D328" t="s">
        <v>1127</v>
      </c>
      <c r="E328">
        <v>68.55</v>
      </c>
      <c r="F328">
        <v>834481</v>
      </c>
      <c r="G328" t="s">
        <v>1128</v>
      </c>
      <c r="H328" t="s">
        <v>1133</v>
      </c>
    </row>
    <row r="329" spans="1:8" x14ac:dyDescent="0.25">
      <c r="A329" t="s">
        <v>62</v>
      </c>
      <c r="B329" t="s">
        <v>435</v>
      </c>
      <c r="C329" t="s">
        <v>1109</v>
      </c>
      <c r="D329" t="s">
        <v>1126</v>
      </c>
      <c r="E329">
        <v>65.39</v>
      </c>
      <c r="F329">
        <v>352240</v>
      </c>
      <c r="G329" t="s">
        <v>1128</v>
      </c>
      <c r="H329" t="s">
        <v>1133</v>
      </c>
    </row>
    <row r="330" spans="1:8" x14ac:dyDescent="0.25">
      <c r="A330" t="s">
        <v>49</v>
      </c>
      <c r="B330" t="s">
        <v>436</v>
      </c>
      <c r="C330" t="s">
        <v>1110</v>
      </c>
      <c r="D330" t="s">
        <v>1125</v>
      </c>
      <c r="E330">
        <v>38.58</v>
      </c>
      <c r="F330">
        <v>758312</v>
      </c>
      <c r="G330" t="s">
        <v>1129</v>
      </c>
      <c r="H330" t="s">
        <v>1133</v>
      </c>
    </row>
    <row r="331" spans="1:8" x14ac:dyDescent="0.25">
      <c r="A331" t="s">
        <v>22</v>
      </c>
      <c r="B331" t="s">
        <v>437</v>
      </c>
      <c r="C331" t="s">
        <v>1111</v>
      </c>
      <c r="D331" t="s">
        <v>1124</v>
      </c>
      <c r="E331">
        <v>43.76</v>
      </c>
      <c r="F331">
        <v>223317</v>
      </c>
      <c r="G331" t="s">
        <v>1131</v>
      </c>
      <c r="H331" t="s">
        <v>1134</v>
      </c>
    </row>
    <row r="332" spans="1:8" x14ac:dyDescent="0.25">
      <c r="A332" t="s">
        <v>18</v>
      </c>
      <c r="B332" t="s">
        <v>438</v>
      </c>
      <c r="C332" t="s">
        <v>1111</v>
      </c>
      <c r="D332" t="s">
        <v>1120</v>
      </c>
      <c r="E332">
        <v>35.880000000000003</v>
      </c>
      <c r="F332">
        <v>107967</v>
      </c>
      <c r="G332" t="s">
        <v>1131</v>
      </c>
      <c r="H332" t="s">
        <v>1134</v>
      </c>
    </row>
    <row r="333" spans="1:8" x14ac:dyDescent="0.25">
      <c r="A333" t="s">
        <v>75</v>
      </c>
      <c r="B333" t="s">
        <v>439</v>
      </c>
      <c r="C333" t="s">
        <v>1108</v>
      </c>
      <c r="D333" t="s">
        <v>1119</v>
      </c>
      <c r="E333">
        <v>66.459999999999994</v>
      </c>
      <c r="F333">
        <v>590289</v>
      </c>
      <c r="G333" t="s">
        <v>1128</v>
      </c>
      <c r="H333" t="s">
        <v>1133</v>
      </c>
    </row>
    <row r="334" spans="1:8" x14ac:dyDescent="0.25">
      <c r="A334" t="s">
        <v>42</v>
      </c>
      <c r="B334" t="s">
        <v>440</v>
      </c>
      <c r="C334" t="s">
        <v>1113</v>
      </c>
      <c r="D334" t="s">
        <v>1126</v>
      </c>
      <c r="E334">
        <v>71.73</v>
      </c>
      <c r="F334">
        <v>152982</v>
      </c>
      <c r="G334" t="s">
        <v>1132</v>
      </c>
      <c r="H334" t="s">
        <v>1134</v>
      </c>
    </row>
    <row r="335" spans="1:8" x14ac:dyDescent="0.25">
      <c r="A335" t="s">
        <v>33</v>
      </c>
      <c r="B335" t="s">
        <v>441</v>
      </c>
      <c r="C335" t="s">
        <v>1116</v>
      </c>
      <c r="D335" t="s">
        <v>1124</v>
      </c>
      <c r="E335">
        <v>39.04</v>
      </c>
      <c r="F335">
        <v>830302</v>
      </c>
      <c r="G335" t="s">
        <v>1131</v>
      </c>
      <c r="H335" t="s">
        <v>1133</v>
      </c>
    </row>
    <row r="336" spans="1:8" x14ac:dyDescent="0.25">
      <c r="A336" t="s">
        <v>26</v>
      </c>
      <c r="B336" t="s">
        <v>442</v>
      </c>
      <c r="C336" t="s">
        <v>1115</v>
      </c>
      <c r="D336" t="s">
        <v>1123</v>
      </c>
      <c r="E336">
        <v>39.58</v>
      </c>
      <c r="F336">
        <v>257973</v>
      </c>
      <c r="G336" t="s">
        <v>1128</v>
      </c>
      <c r="H336" t="s">
        <v>1133</v>
      </c>
    </row>
    <row r="337" spans="1:8" x14ac:dyDescent="0.25">
      <c r="A337" t="s">
        <v>39</v>
      </c>
      <c r="B337" t="s">
        <v>443</v>
      </c>
      <c r="C337" t="s">
        <v>1108</v>
      </c>
      <c r="D337" t="s">
        <v>1123</v>
      </c>
      <c r="E337">
        <v>61.87</v>
      </c>
      <c r="F337">
        <v>640100</v>
      </c>
      <c r="G337" t="s">
        <v>1132</v>
      </c>
      <c r="H337" t="s">
        <v>1133</v>
      </c>
    </row>
    <row r="338" spans="1:8" x14ac:dyDescent="0.25">
      <c r="A338" t="s">
        <v>63</v>
      </c>
      <c r="B338" t="s">
        <v>444</v>
      </c>
      <c r="C338" t="s">
        <v>1114</v>
      </c>
      <c r="D338" t="s">
        <v>1123</v>
      </c>
      <c r="E338">
        <v>50.75</v>
      </c>
      <c r="F338">
        <v>805075</v>
      </c>
      <c r="G338" t="s">
        <v>1132</v>
      </c>
      <c r="H338" t="s">
        <v>1133</v>
      </c>
    </row>
    <row r="339" spans="1:8" x14ac:dyDescent="0.25">
      <c r="A339" t="s">
        <v>98</v>
      </c>
      <c r="B339" t="s">
        <v>445</v>
      </c>
      <c r="C339" t="s">
        <v>1111</v>
      </c>
      <c r="D339" t="s">
        <v>1118</v>
      </c>
      <c r="E339">
        <v>98.48</v>
      </c>
      <c r="F339">
        <v>777338</v>
      </c>
      <c r="G339" t="s">
        <v>1128</v>
      </c>
      <c r="H339" t="s">
        <v>1134</v>
      </c>
    </row>
    <row r="340" spans="1:8" x14ac:dyDescent="0.25">
      <c r="A340" t="s">
        <v>81</v>
      </c>
      <c r="B340" t="s">
        <v>446</v>
      </c>
      <c r="C340" t="s">
        <v>1117</v>
      </c>
      <c r="D340" t="s">
        <v>1118</v>
      </c>
      <c r="E340">
        <v>40.94</v>
      </c>
      <c r="F340">
        <v>995399</v>
      </c>
      <c r="G340" t="s">
        <v>1131</v>
      </c>
      <c r="H340" t="s">
        <v>1134</v>
      </c>
    </row>
    <row r="341" spans="1:8" x14ac:dyDescent="0.25">
      <c r="A341" t="s">
        <v>64</v>
      </c>
      <c r="B341" t="s">
        <v>447</v>
      </c>
      <c r="C341" t="s">
        <v>1109</v>
      </c>
      <c r="D341" t="s">
        <v>1127</v>
      </c>
      <c r="E341">
        <v>82.59</v>
      </c>
      <c r="F341">
        <v>660757</v>
      </c>
      <c r="G341" t="s">
        <v>1129</v>
      </c>
      <c r="H341" t="s">
        <v>1134</v>
      </c>
    </row>
    <row r="342" spans="1:8" x14ac:dyDescent="0.25">
      <c r="A342" t="s">
        <v>77</v>
      </c>
      <c r="B342" t="s">
        <v>448</v>
      </c>
      <c r="C342" t="s">
        <v>1113</v>
      </c>
      <c r="D342" t="s">
        <v>1120</v>
      </c>
      <c r="E342">
        <v>56.8</v>
      </c>
      <c r="F342">
        <v>308841</v>
      </c>
      <c r="G342" t="s">
        <v>1129</v>
      </c>
      <c r="H342" t="s">
        <v>1133</v>
      </c>
    </row>
    <row r="343" spans="1:8" x14ac:dyDescent="0.25">
      <c r="A343" t="s">
        <v>10</v>
      </c>
      <c r="B343" t="s">
        <v>449</v>
      </c>
      <c r="C343" t="s">
        <v>1112</v>
      </c>
      <c r="D343" t="s">
        <v>1121</v>
      </c>
      <c r="E343">
        <v>46.33</v>
      </c>
      <c r="F343">
        <v>638698</v>
      </c>
      <c r="G343" t="s">
        <v>1130</v>
      </c>
      <c r="H343" t="s">
        <v>1133</v>
      </c>
    </row>
    <row r="344" spans="1:8" x14ac:dyDescent="0.25">
      <c r="A344" t="s">
        <v>46</v>
      </c>
      <c r="B344" t="s">
        <v>450</v>
      </c>
      <c r="C344" t="s">
        <v>1117</v>
      </c>
      <c r="D344" t="s">
        <v>1118</v>
      </c>
      <c r="E344">
        <v>86.41</v>
      </c>
      <c r="F344">
        <v>498137</v>
      </c>
      <c r="G344" t="s">
        <v>1129</v>
      </c>
      <c r="H344" t="s">
        <v>1133</v>
      </c>
    </row>
    <row r="345" spans="1:8" x14ac:dyDescent="0.25">
      <c r="A345" t="s">
        <v>12</v>
      </c>
      <c r="B345" t="s">
        <v>451</v>
      </c>
      <c r="C345" t="s">
        <v>1111</v>
      </c>
      <c r="D345" t="s">
        <v>1127</v>
      </c>
      <c r="E345">
        <v>81.78</v>
      </c>
      <c r="F345">
        <v>207562</v>
      </c>
      <c r="G345" t="s">
        <v>1129</v>
      </c>
      <c r="H345" t="s">
        <v>1134</v>
      </c>
    </row>
    <row r="346" spans="1:8" x14ac:dyDescent="0.25">
      <c r="A346" t="s">
        <v>62</v>
      </c>
      <c r="B346" t="s">
        <v>452</v>
      </c>
      <c r="C346" t="s">
        <v>1112</v>
      </c>
      <c r="D346" t="s">
        <v>1124</v>
      </c>
      <c r="E346">
        <v>56.67</v>
      </c>
      <c r="F346">
        <v>517617</v>
      </c>
      <c r="G346" t="s">
        <v>1130</v>
      </c>
      <c r="H346" t="s">
        <v>1133</v>
      </c>
    </row>
    <row r="347" spans="1:8" x14ac:dyDescent="0.25">
      <c r="A347" t="s">
        <v>31</v>
      </c>
      <c r="B347" t="s">
        <v>453</v>
      </c>
      <c r="C347" t="s">
        <v>1116</v>
      </c>
      <c r="D347" t="s">
        <v>1124</v>
      </c>
      <c r="E347">
        <v>77.209999999999994</v>
      </c>
      <c r="F347">
        <v>247175</v>
      </c>
      <c r="G347" t="s">
        <v>1130</v>
      </c>
      <c r="H347" t="s">
        <v>1133</v>
      </c>
    </row>
    <row r="348" spans="1:8" x14ac:dyDescent="0.25">
      <c r="A348" t="s">
        <v>52</v>
      </c>
      <c r="B348" t="s">
        <v>454</v>
      </c>
      <c r="C348" t="s">
        <v>1111</v>
      </c>
      <c r="D348" t="s">
        <v>1121</v>
      </c>
      <c r="E348">
        <v>70.209999999999994</v>
      </c>
      <c r="F348">
        <v>878643</v>
      </c>
      <c r="G348" t="s">
        <v>1132</v>
      </c>
      <c r="H348" t="s">
        <v>1133</v>
      </c>
    </row>
    <row r="349" spans="1:8" x14ac:dyDescent="0.25">
      <c r="A349" t="s">
        <v>42</v>
      </c>
      <c r="B349" t="s">
        <v>455</v>
      </c>
      <c r="C349" t="s">
        <v>1111</v>
      </c>
      <c r="D349" t="s">
        <v>1119</v>
      </c>
      <c r="E349">
        <v>77.930000000000007</v>
      </c>
      <c r="F349">
        <v>594087</v>
      </c>
      <c r="G349" t="s">
        <v>1131</v>
      </c>
      <c r="H349" t="s">
        <v>1133</v>
      </c>
    </row>
    <row r="350" spans="1:8" x14ac:dyDescent="0.25">
      <c r="A350" t="s">
        <v>50</v>
      </c>
      <c r="B350" t="s">
        <v>456</v>
      </c>
      <c r="C350" t="s">
        <v>1110</v>
      </c>
      <c r="D350" t="s">
        <v>1119</v>
      </c>
      <c r="E350">
        <v>67.2</v>
      </c>
      <c r="F350">
        <v>963694</v>
      </c>
      <c r="G350" t="s">
        <v>1128</v>
      </c>
      <c r="H350" t="s">
        <v>1134</v>
      </c>
    </row>
    <row r="351" spans="1:8" x14ac:dyDescent="0.25">
      <c r="A351" t="s">
        <v>75</v>
      </c>
      <c r="B351" t="s">
        <v>457</v>
      </c>
      <c r="C351" t="s">
        <v>1110</v>
      </c>
      <c r="D351" t="s">
        <v>1122</v>
      </c>
      <c r="E351">
        <v>63.49</v>
      </c>
      <c r="F351">
        <v>439032</v>
      </c>
      <c r="G351" t="s">
        <v>1128</v>
      </c>
      <c r="H351" t="s">
        <v>1133</v>
      </c>
    </row>
    <row r="352" spans="1:8" x14ac:dyDescent="0.25">
      <c r="A352" t="s">
        <v>58</v>
      </c>
      <c r="B352" t="s">
        <v>458</v>
      </c>
      <c r="C352" t="s">
        <v>1112</v>
      </c>
      <c r="D352" t="s">
        <v>1125</v>
      </c>
      <c r="E352">
        <v>74.39</v>
      </c>
      <c r="F352">
        <v>384038</v>
      </c>
      <c r="G352" t="s">
        <v>1128</v>
      </c>
      <c r="H352" t="s">
        <v>1133</v>
      </c>
    </row>
    <row r="353" spans="1:8" x14ac:dyDescent="0.25">
      <c r="A353" t="s">
        <v>102</v>
      </c>
      <c r="B353" t="s">
        <v>459</v>
      </c>
      <c r="C353" t="s">
        <v>1114</v>
      </c>
      <c r="D353" t="s">
        <v>1122</v>
      </c>
      <c r="E353">
        <v>65.91</v>
      </c>
      <c r="F353">
        <v>405716</v>
      </c>
      <c r="G353" t="s">
        <v>1132</v>
      </c>
      <c r="H353" t="s">
        <v>1133</v>
      </c>
    </row>
    <row r="354" spans="1:8" x14ac:dyDescent="0.25">
      <c r="A354" t="s">
        <v>47</v>
      </c>
      <c r="B354" t="s">
        <v>460</v>
      </c>
      <c r="C354" t="s">
        <v>1110</v>
      </c>
      <c r="D354" t="s">
        <v>1118</v>
      </c>
      <c r="E354">
        <v>66.900000000000006</v>
      </c>
      <c r="F354">
        <v>469864</v>
      </c>
      <c r="G354" t="s">
        <v>1129</v>
      </c>
      <c r="H354" t="s">
        <v>1133</v>
      </c>
    </row>
    <row r="355" spans="1:8" x14ac:dyDescent="0.25">
      <c r="A355" t="s">
        <v>36</v>
      </c>
      <c r="B355" t="s">
        <v>461</v>
      </c>
      <c r="C355" t="s">
        <v>1113</v>
      </c>
      <c r="D355" t="s">
        <v>1123</v>
      </c>
      <c r="E355">
        <v>93.22</v>
      </c>
      <c r="F355">
        <v>447610</v>
      </c>
      <c r="G355" t="s">
        <v>1131</v>
      </c>
      <c r="H355" t="s">
        <v>1133</v>
      </c>
    </row>
    <row r="356" spans="1:8" x14ac:dyDescent="0.25">
      <c r="A356" t="s">
        <v>24</v>
      </c>
      <c r="B356" t="s">
        <v>462</v>
      </c>
      <c r="C356" t="s">
        <v>1109</v>
      </c>
      <c r="D356" t="s">
        <v>1124</v>
      </c>
      <c r="E356">
        <v>47.82</v>
      </c>
      <c r="F356">
        <v>947607</v>
      </c>
      <c r="G356" t="s">
        <v>1128</v>
      </c>
      <c r="H356" t="s">
        <v>1133</v>
      </c>
    </row>
    <row r="357" spans="1:8" x14ac:dyDescent="0.25">
      <c r="A357" t="s">
        <v>58</v>
      </c>
      <c r="B357" t="s">
        <v>463</v>
      </c>
      <c r="C357" t="s">
        <v>1109</v>
      </c>
      <c r="D357" t="s">
        <v>1124</v>
      </c>
      <c r="E357">
        <v>87.91</v>
      </c>
      <c r="F357">
        <v>992628</v>
      </c>
      <c r="G357" t="s">
        <v>1132</v>
      </c>
      <c r="H357" t="s">
        <v>1134</v>
      </c>
    </row>
    <row r="358" spans="1:8" x14ac:dyDescent="0.25">
      <c r="A358" t="s">
        <v>17</v>
      </c>
      <c r="B358" t="s">
        <v>464</v>
      </c>
      <c r="C358" t="s">
        <v>1108</v>
      </c>
      <c r="D358" t="s">
        <v>1124</v>
      </c>
      <c r="E358">
        <v>59.37</v>
      </c>
      <c r="F358">
        <v>888984</v>
      </c>
      <c r="G358" t="s">
        <v>1131</v>
      </c>
      <c r="H358" t="s">
        <v>1134</v>
      </c>
    </row>
    <row r="359" spans="1:8" x14ac:dyDescent="0.25">
      <c r="A359" t="s">
        <v>50</v>
      </c>
      <c r="B359" t="s">
        <v>465</v>
      </c>
      <c r="C359" t="s">
        <v>1117</v>
      </c>
      <c r="D359" t="s">
        <v>1120</v>
      </c>
      <c r="E359">
        <v>38.74</v>
      </c>
      <c r="F359">
        <v>930564</v>
      </c>
      <c r="G359" t="s">
        <v>1132</v>
      </c>
      <c r="H359" t="s">
        <v>1133</v>
      </c>
    </row>
    <row r="360" spans="1:8" x14ac:dyDescent="0.25">
      <c r="A360" t="s">
        <v>29</v>
      </c>
      <c r="B360" t="s">
        <v>466</v>
      </c>
      <c r="C360" t="s">
        <v>1108</v>
      </c>
      <c r="D360" t="s">
        <v>1122</v>
      </c>
      <c r="E360">
        <v>79.53</v>
      </c>
      <c r="F360">
        <v>488275</v>
      </c>
      <c r="G360" t="s">
        <v>1129</v>
      </c>
      <c r="H360" t="s">
        <v>1133</v>
      </c>
    </row>
    <row r="361" spans="1:8" x14ac:dyDescent="0.25">
      <c r="A361" t="s">
        <v>97</v>
      </c>
      <c r="B361" t="s">
        <v>467</v>
      </c>
      <c r="C361" t="s">
        <v>1110</v>
      </c>
      <c r="D361" t="s">
        <v>1122</v>
      </c>
      <c r="E361">
        <v>88.76</v>
      </c>
      <c r="F361">
        <v>536045</v>
      </c>
      <c r="G361" t="s">
        <v>1132</v>
      </c>
      <c r="H361" t="s">
        <v>1133</v>
      </c>
    </row>
    <row r="362" spans="1:8" x14ac:dyDescent="0.25">
      <c r="A362" t="s">
        <v>93</v>
      </c>
      <c r="B362" t="s">
        <v>468</v>
      </c>
      <c r="C362" t="s">
        <v>1112</v>
      </c>
      <c r="D362" t="s">
        <v>1119</v>
      </c>
      <c r="E362">
        <v>92.03</v>
      </c>
      <c r="F362">
        <v>439107</v>
      </c>
      <c r="G362" t="s">
        <v>1128</v>
      </c>
      <c r="H362" t="s">
        <v>1133</v>
      </c>
    </row>
    <row r="363" spans="1:8" x14ac:dyDescent="0.25">
      <c r="A363" t="s">
        <v>80</v>
      </c>
      <c r="B363" t="s">
        <v>469</v>
      </c>
      <c r="C363" t="s">
        <v>1113</v>
      </c>
      <c r="D363" t="s">
        <v>1123</v>
      </c>
      <c r="E363">
        <v>79.38</v>
      </c>
      <c r="F363">
        <v>429387</v>
      </c>
      <c r="G363" t="s">
        <v>1132</v>
      </c>
      <c r="H363" t="s">
        <v>1134</v>
      </c>
    </row>
    <row r="364" spans="1:8" x14ac:dyDescent="0.25">
      <c r="A364" t="s">
        <v>71</v>
      </c>
      <c r="B364" t="s">
        <v>470</v>
      </c>
      <c r="C364" t="s">
        <v>1111</v>
      </c>
      <c r="D364" t="s">
        <v>1121</v>
      </c>
      <c r="E364">
        <v>51.32</v>
      </c>
      <c r="F364">
        <v>114532</v>
      </c>
      <c r="G364" t="s">
        <v>1128</v>
      </c>
      <c r="H364" t="s">
        <v>1133</v>
      </c>
    </row>
    <row r="365" spans="1:8" x14ac:dyDescent="0.25">
      <c r="A365" t="s">
        <v>103</v>
      </c>
      <c r="B365" t="s">
        <v>471</v>
      </c>
      <c r="C365" t="s">
        <v>1116</v>
      </c>
      <c r="D365" t="s">
        <v>1126</v>
      </c>
      <c r="E365">
        <v>61.93</v>
      </c>
      <c r="F365">
        <v>521885</v>
      </c>
      <c r="G365" t="s">
        <v>1128</v>
      </c>
      <c r="H365" t="s">
        <v>1133</v>
      </c>
    </row>
    <row r="366" spans="1:8" x14ac:dyDescent="0.25">
      <c r="A366" t="s">
        <v>104</v>
      </c>
      <c r="B366" t="s">
        <v>472</v>
      </c>
      <c r="C366" t="s">
        <v>1113</v>
      </c>
      <c r="D366" t="s">
        <v>1125</v>
      </c>
      <c r="E366">
        <v>93.4</v>
      </c>
      <c r="F366">
        <v>737282</v>
      </c>
      <c r="G366" t="s">
        <v>1130</v>
      </c>
      <c r="H366" t="s">
        <v>1133</v>
      </c>
    </row>
    <row r="367" spans="1:8" x14ac:dyDescent="0.25">
      <c r="A367" t="s">
        <v>35</v>
      </c>
      <c r="B367" t="s">
        <v>473</v>
      </c>
      <c r="C367" t="s">
        <v>1115</v>
      </c>
      <c r="D367" t="s">
        <v>1123</v>
      </c>
      <c r="E367">
        <v>92.78</v>
      </c>
      <c r="F367">
        <v>588252</v>
      </c>
      <c r="G367" t="s">
        <v>1130</v>
      </c>
      <c r="H367" t="s">
        <v>1134</v>
      </c>
    </row>
    <row r="368" spans="1:8" x14ac:dyDescent="0.25">
      <c r="A368" t="s">
        <v>11</v>
      </c>
      <c r="B368" t="s">
        <v>474</v>
      </c>
      <c r="C368" t="s">
        <v>1110</v>
      </c>
      <c r="D368" t="s">
        <v>1118</v>
      </c>
      <c r="E368">
        <v>40.56</v>
      </c>
      <c r="F368">
        <v>947759</v>
      </c>
      <c r="G368" t="s">
        <v>1129</v>
      </c>
      <c r="H368" t="s">
        <v>1134</v>
      </c>
    </row>
    <row r="369" spans="1:8" x14ac:dyDescent="0.25">
      <c r="A369" t="s">
        <v>79</v>
      </c>
      <c r="B369" t="s">
        <v>475</v>
      </c>
      <c r="C369" t="s">
        <v>1110</v>
      </c>
      <c r="D369" t="s">
        <v>1124</v>
      </c>
      <c r="E369">
        <v>70.819999999999993</v>
      </c>
      <c r="F369">
        <v>571056</v>
      </c>
      <c r="G369" t="s">
        <v>1132</v>
      </c>
      <c r="H369" t="s">
        <v>1133</v>
      </c>
    </row>
    <row r="370" spans="1:8" x14ac:dyDescent="0.25">
      <c r="A370" t="s">
        <v>26</v>
      </c>
      <c r="B370" t="s">
        <v>476</v>
      </c>
      <c r="C370" t="s">
        <v>1112</v>
      </c>
      <c r="D370" t="s">
        <v>1127</v>
      </c>
      <c r="E370">
        <v>62.67</v>
      </c>
      <c r="F370">
        <v>584011</v>
      </c>
      <c r="G370" t="s">
        <v>1130</v>
      </c>
      <c r="H370" t="s">
        <v>1133</v>
      </c>
    </row>
    <row r="371" spans="1:8" x14ac:dyDescent="0.25">
      <c r="A371" t="s">
        <v>47</v>
      </c>
      <c r="B371" t="s">
        <v>477</v>
      </c>
      <c r="C371" t="s">
        <v>1112</v>
      </c>
      <c r="D371" t="s">
        <v>1127</v>
      </c>
      <c r="E371">
        <v>96.48</v>
      </c>
      <c r="F371">
        <v>827534</v>
      </c>
      <c r="G371" t="s">
        <v>1128</v>
      </c>
      <c r="H371" t="s">
        <v>1133</v>
      </c>
    </row>
    <row r="372" spans="1:8" x14ac:dyDescent="0.25">
      <c r="A372" t="s">
        <v>61</v>
      </c>
      <c r="B372" t="s">
        <v>478</v>
      </c>
      <c r="C372" t="s">
        <v>1113</v>
      </c>
      <c r="D372" t="s">
        <v>1119</v>
      </c>
      <c r="E372">
        <v>70.73</v>
      </c>
      <c r="F372">
        <v>118965</v>
      </c>
      <c r="G372" t="s">
        <v>1128</v>
      </c>
      <c r="H372" t="s">
        <v>1133</v>
      </c>
    </row>
    <row r="373" spans="1:8" x14ac:dyDescent="0.25">
      <c r="A373" t="s">
        <v>79</v>
      </c>
      <c r="B373" t="s">
        <v>479</v>
      </c>
      <c r="C373" t="s">
        <v>1108</v>
      </c>
      <c r="D373" t="s">
        <v>1126</v>
      </c>
      <c r="E373">
        <v>82.43</v>
      </c>
      <c r="F373">
        <v>421502</v>
      </c>
      <c r="G373" t="s">
        <v>1132</v>
      </c>
      <c r="H373" t="s">
        <v>1134</v>
      </c>
    </row>
    <row r="374" spans="1:8" x14ac:dyDescent="0.25">
      <c r="A374" t="s">
        <v>93</v>
      </c>
      <c r="B374" t="s">
        <v>480</v>
      </c>
      <c r="C374" t="s">
        <v>1108</v>
      </c>
      <c r="D374" t="s">
        <v>1123</v>
      </c>
      <c r="E374">
        <v>86.07</v>
      </c>
      <c r="F374">
        <v>678690</v>
      </c>
      <c r="G374" t="s">
        <v>1129</v>
      </c>
      <c r="H374" t="s">
        <v>1133</v>
      </c>
    </row>
    <row r="375" spans="1:8" x14ac:dyDescent="0.25">
      <c r="A375" t="s">
        <v>87</v>
      </c>
      <c r="B375" t="s">
        <v>481</v>
      </c>
      <c r="C375" t="s">
        <v>1113</v>
      </c>
      <c r="D375" t="s">
        <v>1124</v>
      </c>
      <c r="E375">
        <v>90.8</v>
      </c>
      <c r="F375">
        <v>218466</v>
      </c>
      <c r="G375" t="s">
        <v>1129</v>
      </c>
      <c r="H375" t="s">
        <v>1133</v>
      </c>
    </row>
    <row r="376" spans="1:8" x14ac:dyDescent="0.25">
      <c r="A376" t="s">
        <v>56</v>
      </c>
      <c r="B376" t="s">
        <v>482</v>
      </c>
      <c r="C376" t="s">
        <v>1115</v>
      </c>
      <c r="D376" t="s">
        <v>1125</v>
      </c>
      <c r="E376">
        <v>85.06</v>
      </c>
      <c r="F376">
        <v>901987</v>
      </c>
      <c r="G376" t="s">
        <v>1130</v>
      </c>
      <c r="H376" t="s">
        <v>1133</v>
      </c>
    </row>
    <row r="377" spans="1:8" x14ac:dyDescent="0.25">
      <c r="A377" t="s">
        <v>105</v>
      </c>
      <c r="B377" t="s">
        <v>483</v>
      </c>
      <c r="C377" t="s">
        <v>1108</v>
      </c>
      <c r="D377" t="s">
        <v>1126</v>
      </c>
      <c r="E377">
        <v>43.24</v>
      </c>
      <c r="F377">
        <v>635661</v>
      </c>
      <c r="G377" t="s">
        <v>1131</v>
      </c>
      <c r="H377" t="s">
        <v>1133</v>
      </c>
    </row>
    <row r="378" spans="1:8" x14ac:dyDescent="0.25">
      <c r="A378" t="s">
        <v>47</v>
      </c>
      <c r="B378" t="s">
        <v>484</v>
      </c>
      <c r="C378" t="s">
        <v>1110</v>
      </c>
      <c r="D378" t="s">
        <v>1120</v>
      </c>
      <c r="E378">
        <v>73.930000000000007</v>
      </c>
      <c r="F378">
        <v>246314</v>
      </c>
      <c r="G378" t="s">
        <v>1130</v>
      </c>
      <c r="H378" t="s">
        <v>1133</v>
      </c>
    </row>
    <row r="379" spans="1:8" x14ac:dyDescent="0.25">
      <c r="A379" t="s">
        <v>41</v>
      </c>
      <c r="B379" t="s">
        <v>485</v>
      </c>
      <c r="C379" t="s">
        <v>1112</v>
      </c>
      <c r="D379" t="s">
        <v>1119</v>
      </c>
      <c r="E379">
        <v>85.99</v>
      </c>
      <c r="F379">
        <v>722721</v>
      </c>
      <c r="G379" t="s">
        <v>1132</v>
      </c>
      <c r="H379" t="s">
        <v>1134</v>
      </c>
    </row>
    <row r="380" spans="1:8" x14ac:dyDescent="0.25">
      <c r="A380" t="s">
        <v>54</v>
      </c>
      <c r="B380" t="s">
        <v>486</v>
      </c>
      <c r="C380" t="s">
        <v>1115</v>
      </c>
      <c r="D380" t="s">
        <v>1126</v>
      </c>
      <c r="E380">
        <v>84.76</v>
      </c>
      <c r="F380">
        <v>949772</v>
      </c>
      <c r="G380" t="s">
        <v>1129</v>
      </c>
      <c r="H380" t="s">
        <v>1133</v>
      </c>
    </row>
    <row r="381" spans="1:8" x14ac:dyDescent="0.25">
      <c r="A381" t="s">
        <v>59</v>
      </c>
      <c r="B381" t="s">
        <v>487</v>
      </c>
      <c r="C381" t="s">
        <v>1110</v>
      </c>
      <c r="D381" t="s">
        <v>1121</v>
      </c>
      <c r="E381">
        <v>48.59</v>
      </c>
      <c r="F381">
        <v>471484</v>
      </c>
      <c r="G381" t="s">
        <v>1128</v>
      </c>
      <c r="H381" t="s">
        <v>1133</v>
      </c>
    </row>
    <row r="382" spans="1:8" x14ac:dyDescent="0.25">
      <c r="A382" t="s">
        <v>56</v>
      </c>
      <c r="B382" t="s">
        <v>488</v>
      </c>
      <c r="C382" t="s">
        <v>1115</v>
      </c>
      <c r="D382" t="s">
        <v>1127</v>
      </c>
      <c r="E382">
        <v>59.02</v>
      </c>
      <c r="F382">
        <v>240452</v>
      </c>
      <c r="G382" t="s">
        <v>1130</v>
      </c>
      <c r="H382" t="s">
        <v>1134</v>
      </c>
    </row>
    <row r="383" spans="1:8" x14ac:dyDescent="0.25">
      <c r="A383" t="s">
        <v>36</v>
      </c>
      <c r="B383" t="s">
        <v>489</v>
      </c>
      <c r="C383" t="s">
        <v>1113</v>
      </c>
      <c r="D383" t="s">
        <v>1120</v>
      </c>
      <c r="E383">
        <v>83.99</v>
      </c>
      <c r="F383">
        <v>318647</v>
      </c>
      <c r="G383" t="s">
        <v>1130</v>
      </c>
      <c r="H383" t="s">
        <v>1133</v>
      </c>
    </row>
    <row r="384" spans="1:8" x14ac:dyDescent="0.25">
      <c r="A384" t="s">
        <v>67</v>
      </c>
      <c r="B384" t="s">
        <v>490</v>
      </c>
      <c r="C384" t="s">
        <v>1117</v>
      </c>
      <c r="D384" t="s">
        <v>1127</v>
      </c>
      <c r="E384">
        <v>90.75</v>
      </c>
      <c r="F384">
        <v>531284</v>
      </c>
      <c r="G384" t="s">
        <v>1129</v>
      </c>
      <c r="H384" t="s">
        <v>1133</v>
      </c>
    </row>
    <row r="385" spans="1:8" x14ac:dyDescent="0.25">
      <c r="A385" t="s">
        <v>12</v>
      </c>
      <c r="B385" t="s">
        <v>491</v>
      </c>
      <c r="C385" t="s">
        <v>1111</v>
      </c>
      <c r="D385" t="s">
        <v>1118</v>
      </c>
      <c r="E385">
        <v>81.56</v>
      </c>
      <c r="F385">
        <v>374298</v>
      </c>
      <c r="G385" t="s">
        <v>1130</v>
      </c>
      <c r="H385" t="s">
        <v>1133</v>
      </c>
    </row>
    <row r="386" spans="1:8" x14ac:dyDescent="0.25">
      <c r="A386" t="s">
        <v>35</v>
      </c>
      <c r="B386" t="s">
        <v>492</v>
      </c>
      <c r="C386" t="s">
        <v>1117</v>
      </c>
      <c r="D386" t="s">
        <v>1127</v>
      </c>
      <c r="E386">
        <v>88.67</v>
      </c>
      <c r="F386">
        <v>976904</v>
      </c>
      <c r="G386" t="s">
        <v>1129</v>
      </c>
      <c r="H386" t="s">
        <v>1134</v>
      </c>
    </row>
    <row r="387" spans="1:8" x14ac:dyDescent="0.25">
      <c r="A387" t="s">
        <v>85</v>
      </c>
      <c r="B387" t="s">
        <v>493</v>
      </c>
      <c r="C387" t="s">
        <v>1115</v>
      </c>
      <c r="D387" t="s">
        <v>1121</v>
      </c>
      <c r="E387">
        <v>72.66</v>
      </c>
      <c r="F387">
        <v>441836</v>
      </c>
      <c r="G387" t="s">
        <v>1132</v>
      </c>
      <c r="H387" t="s">
        <v>1133</v>
      </c>
    </row>
    <row r="388" spans="1:8" x14ac:dyDescent="0.25">
      <c r="A388" t="s">
        <v>11</v>
      </c>
      <c r="B388" t="s">
        <v>494</v>
      </c>
      <c r="C388" t="s">
        <v>1112</v>
      </c>
      <c r="D388" t="s">
        <v>1124</v>
      </c>
      <c r="E388">
        <v>79.260000000000005</v>
      </c>
      <c r="F388">
        <v>675826</v>
      </c>
      <c r="G388" t="s">
        <v>1132</v>
      </c>
      <c r="H388" t="s">
        <v>1133</v>
      </c>
    </row>
    <row r="389" spans="1:8" x14ac:dyDescent="0.25">
      <c r="A389" t="s">
        <v>103</v>
      </c>
      <c r="B389" t="s">
        <v>495</v>
      </c>
      <c r="C389" t="s">
        <v>1114</v>
      </c>
      <c r="D389" t="s">
        <v>1127</v>
      </c>
      <c r="E389">
        <v>95.97</v>
      </c>
      <c r="F389">
        <v>416632</v>
      </c>
      <c r="G389" t="s">
        <v>1128</v>
      </c>
      <c r="H389" t="s">
        <v>1133</v>
      </c>
    </row>
    <row r="390" spans="1:8" x14ac:dyDescent="0.25">
      <c r="A390" t="s">
        <v>30</v>
      </c>
      <c r="B390" t="s">
        <v>496</v>
      </c>
      <c r="C390" t="s">
        <v>1108</v>
      </c>
      <c r="D390" t="s">
        <v>1119</v>
      </c>
      <c r="E390">
        <v>85.7</v>
      </c>
      <c r="F390">
        <v>437120</v>
      </c>
      <c r="G390" t="s">
        <v>1128</v>
      </c>
      <c r="H390" t="s">
        <v>1133</v>
      </c>
    </row>
    <row r="391" spans="1:8" x14ac:dyDescent="0.25">
      <c r="A391" t="s">
        <v>97</v>
      </c>
      <c r="B391" t="s">
        <v>497</v>
      </c>
      <c r="C391" t="s">
        <v>1109</v>
      </c>
      <c r="D391" t="s">
        <v>1123</v>
      </c>
      <c r="E391">
        <v>81.96</v>
      </c>
      <c r="F391">
        <v>650173</v>
      </c>
      <c r="G391" t="s">
        <v>1131</v>
      </c>
      <c r="H391" t="s">
        <v>1133</v>
      </c>
    </row>
    <row r="392" spans="1:8" x14ac:dyDescent="0.25">
      <c r="A392" t="s">
        <v>50</v>
      </c>
      <c r="B392" t="s">
        <v>498</v>
      </c>
      <c r="C392" t="s">
        <v>1110</v>
      </c>
      <c r="D392" t="s">
        <v>1119</v>
      </c>
      <c r="E392">
        <v>88.51</v>
      </c>
      <c r="F392">
        <v>258267</v>
      </c>
      <c r="G392" t="s">
        <v>1130</v>
      </c>
      <c r="H392" t="s">
        <v>1133</v>
      </c>
    </row>
    <row r="393" spans="1:8" x14ac:dyDescent="0.25">
      <c r="A393" t="s">
        <v>51</v>
      </c>
      <c r="B393" t="s">
        <v>499</v>
      </c>
      <c r="C393" t="s">
        <v>1113</v>
      </c>
      <c r="D393" t="s">
        <v>1122</v>
      </c>
      <c r="E393">
        <v>42.32</v>
      </c>
      <c r="F393">
        <v>234286</v>
      </c>
      <c r="G393" t="s">
        <v>1128</v>
      </c>
      <c r="H393" t="s">
        <v>1133</v>
      </c>
    </row>
    <row r="394" spans="1:8" x14ac:dyDescent="0.25">
      <c r="A394" t="s">
        <v>89</v>
      </c>
      <c r="B394" t="s">
        <v>500</v>
      </c>
      <c r="C394" t="s">
        <v>1111</v>
      </c>
      <c r="D394" t="s">
        <v>1125</v>
      </c>
      <c r="E394">
        <v>56.04</v>
      </c>
      <c r="F394">
        <v>439867</v>
      </c>
      <c r="G394" t="s">
        <v>1130</v>
      </c>
      <c r="H394" t="s">
        <v>1133</v>
      </c>
    </row>
    <row r="395" spans="1:8" x14ac:dyDescent="0.25">
      <c r="A395" t="s">
        <v>70</v>
      </c>
      <c r="B395" t="s">
        <v>501</v>
      </c>
      <c r="C395" t="s">
        <v>1116</v>
      </c>
      <c r="D395" t="s">
        <v>1122</v>
      </c>
      <c r="E395">
        <v>57.93</v>
      </c>
      <c r="F395">
        <v>791631</v>
      </c>
      <c r="G395" t="s">
        <v>1131</v>
      </c>
      <c r="H395" t="s">
        <v>1133</v>
      </c>
    </row>
    <row r="396" spans="1:8" x14ac:dyDescent="0.25">
      <c r="A396" t="s">
        <v>87</v>
      </c>
      <c r="B396" t="s">
        <v>502</v>
      </c>
      <c r="C396" t="s">
        <v>1116</v>
      </c>
      <c r="D396" t="s">
        <v>1123</v>
      </c>
      <c r="E396">
        <v>40.82</v>
      </c>
      <c r="F396">
        <v>413485</v>
      </c>
      <c r="G396" t="s">
        <v>1128</v>
      </c>
      <c r="H396" t="s">
        <v>1133</v>
      </c>
    </row>
    <row r="397" spans="1:8" x14ac:dyDescent="0.25">
      <c r="A397" t="s">
        <v>64</v>
      </c>
      <c r="B397" t="s">
        <v>503</v>
      </c>
      <c r="C397" t="s">
        <v>1116</v>
      </c>
      <c r="D397" t="s">
        <v>1126</v>
      </c>
      <c r="E397">
        <v>94.63</v>
      </c>
      <c r="F397">
        <v>965990</v>
      </c>
      <c r="G397" t="s">
        <v>1128</v>
      </c>
      <c r="H397" t="s">
        <v>1133</v>
      </c>
    </row>
    <row r="398" spans="1:8" x14ac:dyDescent="0.25">
      <c r="A398" t="s">
        <v>98</v>
      </c>
      <c r="B398" t="s">
        <v>504</v>
      </c>
      <c r="C398" t="s">
        <v>1112</v>
      </c>
      <c r="D398" t="s">
        <v>1127</v>
      </c>
      <c r="E398">
        <v>90.81</v>
      </c>
      <c r="F398">
        <v>768292</v>
      </c>
      <c r="G398" t="s">
        <v>1129</v>
      </c>
      <c r="H398" t="s">
        <v>1133</v>
      </c>
    </row>
    <row r="399" spans="1:8" x14ac:dyDescent="0.25">
      <c r="A399" t="s">
        <v>43</v>
      </c>
      <c r="B399" t="s">
        <v>505</v>
      </c>
      <c r="C399" t="s">
        <v>1110</v>
      </c>
      <c r="D399" t="s">
        <v>1122</v>
      </c>
      <c r="E399">
        <v>70.489999999999995</v>
      </c>
      <c r="F399">
        <v>695517</v>
      </c>
      <c r="G399" t="s">
        <v>1132</v>
      </c>
      <c r="H399" t="s">
        <v>1133</v>
      </c>
    </row>
    <row r="400" spans="1:8" x14ac:dyDescent="0.25">
      <c r="A400" t="s">
        <v>80</v>
      </c>
      <c r="B400" t="s">
        <v>506</v>
      </c>
      <c r="C400" t="s">
        <v>1114</v>
      </c>
      <c r="D400" t="s">
        <v>1123</v>
      </c>
      <c r="E400">
        <v>38.619999999999997</v>
      </c>
      <c r="F400">
        <v>275897</v>
      </c>
      <c r="G400" t="s">
        <v>1128</v>
      </c>
      <c r="H400" t="s">
        <v>1133</v>
      </c>
    </row>
    <row r="401" spans="1:8" x14ac:dyDescent="0.25">
      <c r="A401" t="s">
        <v>23</v>
      </c>
      <c r="B401" t="s">
        <v>507</v>
      </c>
      <c r="C401" t="s">
        <v>1116</v>
      </c>
      <c r="D401" t="s">
        <v>1123</v>
      </c>
      <c r="E401">
        <v>35.58</v>
      </c>
      <c r="F401">
        <v>299341</v>
      </c>
      <c r="G401" t="s">
        <v>1129</v>
      </c>
      <c r="H401" t="s">
        <v>1133</v>
      </c>
    </row>
    <row r="402" spans="1:8" x14ac:dyDescent="0.25">
      <c r="A402" t="s">
        <v>89</v>
      </c>
      <c r="B402" t="s">
        <v>508</v>
      </c>
      <c r="C402" t="s">
        <v>1114</v>
      </c>
      <c r="D402" t="s">
        <v>1125</v>
      </c>
      <c r="E402">
        <v>73.31</v>
      </c>
      <c r="F402">
        <v>344053</v>
      </c>
      <c r="G402" t="s">
        <v>1128</v>
      </c>
      <c r="H402" t="s">
        <v>1134</v>
      </c>
    </row>
    <row r="403" spans="1:8" x14ac:dyDescent="0.25">
      <c r="A403" t="s">
        <v>15</v>
      </c>
      <c r="B403" t="s">
        <v>509</v>
      </c>
      <c r="C403" t="s">
        <v>1111</v>
      </c>
      <c r="D403" t="s">
        <v>1122</v>
      </c>
      <c r="E403">
        <v>62.56</v>
      </c>
      <c r="F403">
        <v>790808</v>
      </c>
      <c r="G403" t="s">
        <v>1129</v>
      </c>
      <c r="H403" t="s">
        <v>1133</v>
      </c>
    </row>
    <row r="404" spans="1:8" x14ac:dyDescent="0.25">
      <c r="A404" t="s">
        <v>24</v>
      </c>
      <c r="B404" t="s">
        <v>510</v>
      </c>
      <c r="C404" t="s">
        <v>1113</v>
      </c>
      <c r="D404" t="s">
        <v>1122</v>
      </c>
      <c r="E404">
        <v>53.12</v>
      </c>
      <c r="F404">
        <v>451589</v>
      </c>
      <c r="G404" t="s">
        <v>1132</v>
      </c>
      <c r="H404" t="s">
        <v>1133</v>
      </c>
    </row>
    <row r="405" spans="1:8" x14ac:dyDescent="0.25">
      <c r="A405" t="s">
        <v>81</v>
      </c>
      <c r="B405" t="s">
        <v>511</v>
      </c>
      <c r="C405" t="s">
        <v>1113</v>
      </c>
      <c r="D405" t="s">
        <v>1121</v>
      </c>
      <c r="E405">
        <v>43.33</v>
      </c>
      <c r="F405">
        <v>855842</v>
      </c>
      <c r="G405" t="s">
        <v>1131</v>
      </c>
      <c r="H405" t="s">
        <v>1134</v>
      </c>
    </row>
    <row r="406" spans="1:8" x14ac:dyDescent="0.25">
      <c r="A406" t="s">
        <v>45</v>
      </c>
      <c r="B406" t="s">
        <v>512</v>
      </c>
      <c r="C406" t="s">
        <v>1112</v>
      </c>
      <c r="D406" t="s">
        <v>1124</v>
      </c>
      <c r="E406">
        <v>69.41</v>
      </c>
      <c r="F406">
        <v>215898</v>
      </c>
      <c r="G406" t="s">
        <v>1130</v>
      </c>
      <c r="H406" t="s">
        <v>1133</v>
      </c>
    </row>
    <row r="407" spans="1:8" x14ac:dyDescent="0.25">
      <c r="A407" t="s">
        <v>66</v>
      </c>
      <c r="B407" t="s">
        <v>513</v>
      </c>
      <c r="C407" t="s">
        <v>1113</v>
      </c>
      <c r="D407" t="s">
        <v>1120</v>
      </c>
      <c r="E407">
        <v>49.9</v>
      </c>
      <c r="F407">
        <v>782778</v>
      </c>
      <c r="G407" t="s">
        <v>1132</v>
      </c>
      <c r="H407" t="s">
        <v>1133</v>
      </c>
    </row>
    <row r="408" spans="1:8" x14ac:dyDescent="0.25">
      <c r="A408" t="s">
        <v>66</v>
      </c>
      <c r="B408" t="s">
        <v>514</v>
      </c>
      <c r="C408" t="s">
        <v>1111</v>
      </c>
      <c r="D408" t="s">
        <v>1124</v>
      </c>
      <c r="E408">
        <v>59.86</v>
      </c>
      <c r="F408">
        <v>814440</v>
      </c>
      <c r="G408" t="s">
        <v>1128</v>
      </c>
      <c r="H408" t="s">
        <v>1133</v>
      </c>
    </row>
    <row r="409" spans="1:8" x14ac:dyDescent="0.25">
      <c r="A409" t="s">
        <v>11</v>
      </c>
      <c r="B409" t="s">
        <v>515</v>
      </c>
      <c r="C409" t="s">
        <v>1115</v>
      </c>
      <c r="D409" t="s">
        <v>1121</v>
      </c>
      <c r="E409">
        <v>84.73</v>
      </c>
      <c r="F409">
        <v>695212</v>
      </c>
      <c r="G409" t="s">
        <v>1129</v>
      </c>
      <c r="H409" t="s">
        <v>1133</v>
      </c>
    </row>
    <row r="410" spans="1:8" x14ac:dyDescent="0.25">
      <c r="A410" t="s">
        <v>20</v>
      </c>
      <c r="B410" t="s">
        <v>516</v>
      </c>
      <c r="C410" t="s">
        <v>1110</v>
      </c>
      <c r="D410" t="s">
        <v>1119</v>
      </c>
      <c r="E410">
        <v>39.03</v>
      </c>
      <c r="F410">
        <v>800670</v>
      </c>
      <c r="G410" t="s">
        <v>1128</v>
      </c>
      <c r="H410" t="s">
        <v>1134</v>
      </c>
    </row>
    <row r="411" spans="1:8" x14ac:dyDescent="0.25">
      <c r="A411" t="s">
        <v>30</v>
      </c>
      <c r="B411" t="s">
        <v>517</v>
      </c>
      <c r="C411" t="s">
        <v>1111</v>
      </c>
      <c r="D411" t="s">
        <v>1123</v>
      </c>
      <c r="E411">
        <v>91.53</v>
      </c>
      <c r="F411">
        <v>887091</v>
      </c>
      <c r="G411" t="s">
        <v>1128</v>
      </c>
      <c r="H411" t="s">
        <v>1133</v>
      </c>
    </row>
    <row r="412" spans="1:8" x14ac:dyDescent="0.25">
      <c r="A412" t="s">
        <v>56</v>
      </c>
      <c r="B412" t="s">
        <v>518</v>
      </c>
      <c r="C412" t="s">
        <v>1112</v>
      </c>
      <c r="D412" t="s">
        <v>1118</v>
      </c>
      <c r="E412">
        <v>66.959999999999994</v>
      </c>
      <c r="F412">
        <v>594053</v>
      </c>
      <c r="G412" t="s">
        <v>1130</v>
      </c>
      <c r="H412" t="s">
        <v>1133</v>
      </c>
    </row>
    <row r="413" spans="1:8" x14ac:dyDescent="0.25">
      <c r="A413" t="s">
        <v>67</v>
      </c>
      <c r="B413" t="s">
        <v>519</v>
      </c>
      <c r="C413" t="s">
        <v>1115</v>
      </c>
      <c r="D413" t="s">
        <v>1121</v>
      </c>
      <c r="E413">
        <v>36.119999999999997</v>
      </c>
      <c r="F413">
        <v>463333</v>
      </c>
      <c r="G413" t="s">
        <v>1132</v>
      </c>
      <c r="H413" t="s">
        <v>1134</v>
      </c>
    </row>
    <row r="414" spans="1:8" x14ac:dyDescent="0.25">
      <c r="A414" t="s">
        <v>45</v>
      </c>
      <c r="B414" t="s">
        <v>520</v>
      </c>
      <c r="C414" t="s">
        <v>1115</v>
      </c>
      <c r="D414" t="s">
        <v>1126</v>
      </c>
      <c r="E414">
        <v>47.67</v>
      </c>
      <c r="F414">
        <v>113690</v>
      </c>
      <c r="G414" t="s">
        <v>1129</v>
      </c>
      <c r="H414" t="s">
        <v>1133</v>
      </c>
    </row>
    <row r="415" spans="1:8" x14ac:dyDescent="0.25">
      <c r="A415" t="s">
        <v>48</v>
      </c>
      <c r="B415" t="s">
        <v>521</v>
      </c>
      <c r="C415" t="s">
        <v>1112</v>
      </c>
      <c r="D415" t="s">
        <v>1123</v>
      </c>
      <c r="E415">
        <v>89.26</v>
      </c>
      <c r="F415">
        <v>513661</v>
      </c>
      <c r="G415" t="s">
        <v>1130</v>
      </c>
      <c r="H415" t="s">
        <v>1134</v>
      </c>
    </row>
    <row r="416" spans="1:8" x14ac:dyDescent="0.25">
      <c r="A416" t="s">
        <v>18</v>
      </c>
      <c r="B416" t="s">
        <v>522</v>
      </c>
      <c r="C416" t="s">
        <v>1114</v>
      </c>
      <c r="D416" t="s">
        <v>1127</v>
      </c>
      <c r="E416">
        <v>81.92</v>
      </c>
      <c r="F416">
        <v>537731</v>
      </c>
      <c r="G416" t="s">
        <v>1128</v>
      </c>
      <c r="H416" t="s">
        <v>1133</v>
      </c>
    </row>
    <row r="417" spans="1:8" x14ac:dyDescent="0.25">
      <c r="A417" t="s">
        <v>102</v>
      </c>
      <c r="B417" t="s">
        <v>523</v>
      </c>
      <c r="C417" t="s">
        <v>1116</v>
      </c>
      <c r="D417" t="s">
        <v>1127</v>
      </c>
      <c r="E417">
        <v>96.17</v>
      </c>
      <c r="F417">
        <v>545164</v>
      </c>
      <c r="G417" t="s">
        <v>1128</v>
      </c>
      <c r="H417" t="s">
        <v>1134</v>
      </c>
    </row>
    <row r="418" spans="1:8" x14ac:dyDescent="0.25">
      <c r="A418" t="s">
        <v>106</v>
      </c>
      <c r="B418" t="s">
        <v>524</v>
      </c>
      <c r="C418" t="s">
        <v>1111</v>
      </c>
      <c r="D418" t="s">
        <v>1118</v>
      </c>
      <c r="E418">
        <v>82.09</v>
      </c>
      <c r="F418">
        <v>955915</v>
      </c>
      <c r="G418" t="s">
        <v>1131</v>
      </c>
      <c r="H418" t="s">
        <v>1134</v>
      </c>
    </row>
    <row r="419" spans="1:8" x14ac:dyDescent="0.25">
      <c r="A419" t="s">
        <v>8</v>
      </c>
      <c r="B419" t="s">
        <v>525</v>
      </c>
      <c r="C419" t="s">
        <v>1115</v>
      </c>
      <c r="D419" t="s">
        <v>1125</v>
      </c>
      <c r="E419">
        <v>83.93</v>
      </c>
      <c r="F419">
        <v>973153</v>
      </c>
      <c r="G419" t="s">
        <v>1130</v>
      </c>
      <c r="H419" t="s">
        <v>1133</v>
      </c>
    </row>
    <row r="420" spans="1:8" x14ac:dyDescent="0.25">
      <c r="A420" t="s">
        <v>107</v>
      </c>
      <c r="B420" t="s">
        <v>526</v>
      </c>
      <c r="C420" t="s">
        <v>1110</v>
      </c>
      <c r="D420" t="s">
        <v>1126</v>
      </c>
      <c r="E420">
        <v>45.02</v>
      </c>
      <c r="F420">
        <v>444407</v>
      </c>
      <c r="G420" t="s">
        <v>1130</v>
      </c>
      <c r="H420" t="s">
        <v>1133</v>
      </c>
    </row>
    <row r="421" spans="1:8" x14ac:dyDescent="0.25">
      <c r="A421" t="s">
        <v>76</v>
      </c>
      <c r="B421" t="s">
        <v>527</v>
      </c>
      <c r="C421" t="s">
        <v>1114</v>
      </c>
      <c r="D421" t="s">
        <v>1119</v>
      </c>
      <c r="E421">
        <v>35.770000000000003</v>
      </c>
      <c r="F421">
        <v>407353</v>
      </c>
      <c r="G421" t="s">
        <v>1131</v>
      </c>
      <c r="H421" t="s">
        <v>1133</v>
      </c>
    </row>
    <row r="422" spans="1:8" x14ac:dyDescent="0.25">
      <c r="A422" t="s">
        <v>54</v>
      </c>
      <c r="B422" t="s">
        <v>528</v>
      </c>
      <c r="C422" t="s">
        <v>1116</v>
      </c>
      <c r="D422" t="s">
        <v>1119</v>
      </c>
      <c r="E422">
        <v>45.32</v>
      </c>
      <c r="F422">
        <v>218858</v>
      </c>
      <c r="G422" t="s">
        <v>1131</v>
      </c>
      <c r="H422" t="s">
        <v>1133</v>
      </c>
    </row>
    <row r="423" spans="1:8" x14ac:dyDescent="0.25">
      <c r="A423" t="s">
        <v>64</v>
      </c>
      <c r="B423" t="s">
        <v>529</v>
      </c>
      <c r="C423" t="s">
        <v>1115</v>
      </c>
      <c r="D423" t="s">
        <v>1120</v>
      </c>
      <c r="E423">
        <v>51.29</v>
      </c>
      <c r="F423">
        <v>182168</v>
      </c>
      <c r="G423" t="s">
        <v>1128</v>
      </c>
      <c r="H423" t="s">
        <v>1134</v>
      </c>
    </row>
    <row r="424" spans="1:8" x14ac:dyDescent="0.25">
      <c r="A424" t="s">
        <v>62</v>
      </c>
      <c r="B424" t="s">
        <v>530</v>
      </c>
      <c r="C424" t="s">
        <v>1113</v>
      </c>
      <c r="D424" t="s">
        <v>1119</v>
      </c>
      <c r="E424">
        <v>98.63</v>
      </c>
      <c r="F424">
        <v>742787</v>
      </c>
      <c r="G424" t="s">
        <v>1130</v>
      </c>
      <c r="H424" t="s">
        <v>1134</v>
      </c>
    </row>
    <row r="425" spans="1:8" x14ac:dyDescent="0.25">
      <c r="A425" t="s">
        <v>28</v>
      </c>
      <c r="B425" t="s">
        <v>531</v>
      </c>
      <c r="C425" t="s">
        <v>1115</v>
      </c>
      <c r="D425" t="s">
        <v>1126</v>
      </c>
      <c r="E425">
        <v>71.5</v>
      </c>
      <c r="F425">
        <v>332041</v>
      </c>
      <c r="G425" t="s">
        <v>1128</v>
      </c>
      <c r="H425" t="s">
        <v>1133</v>
      </c>
    </row>
    <row r="426" spans="1:8" x14ac:dyDescent="0.25">
      <c r="A426" t="s">
        <v>107</v>
      </c>
      <c r="B426" t="s">
        <v>532</v>
      </c>
      <c r="C426" t="s">
        <v>1114</v>
      </c>
      <c r="D426" t="s">
        <v>1121</v>
      </c>
      <c r="E426">
        <v>60.91</v>
      </c>
      <c r="F426">
        <v>904836</v>
      </c>
      <c r="G426" t="s">
        <v>1128</v>
      </c>
      <c r="H426" t="s">
        <v>1133</v>
      </c>
    </row>
    <row r="427" spans="1:8" x14ac:dyDescent="0.25">
      <c r="A427" t="s">
        <v>52</v>
      </c>
      <c r="B427" t="s">
        <v>533</v>
      </c>
      <c r="C427" t="s">
        <v>1115</v>
      </c>
      <c r="D427" t="s">
        <v>1127</v>
      </c>
      <c r="E427">
        <v>40.369999999999997</v>
      </c>
      <c r="F427">
        <v>725144</v>
      </c>
      <c r="G427" t="s">
        <v>1131</v>
      </c>
      <c r="H427" t="s">
        <v>1133</v>
      </c>
    </row>
    <row r="428" spans="1:8" x14ac:dyDescent="0.25">
      <c r="A428" t="s">
        <v>84</v>
      </c>
      <c r="B428" t="s">
        <v>534</v>
      </c>
      <c r="C428" t="s">
        <v>1115</v>
      </c>
      <c r="D428" t="s">
        <v>1126</v>
      </c>
      <c r="E428">
        <v>45.41</v>
      </c>
      <c r="F428">
        <v>974172</v>
      </c>
      <c r="G428" t="s">
        <v>1128</v>
      </c>
      <c r="H428" t="s">
        <v>1134</v>
      </c>
    </row>
    <row r="429" spans="1:8" x14ac:dyDescent="0.25">
      <c r="A429" t="s">
        <v>99</v>
      </c>
      <c r="B429" t="s">
        <v>535</v>
      </c>
      <c r="C429" t="s">
        <v>1117</v>
      </c>
      <c r="D429" t="s">
        <v>1123</v>
      </c>
      <c r="E429">
        <v>88.37</v>
      </c>
      <c r="F429">
        <v>473523</v>
      </c>
      <c r="G429" t="s">
        <v>1129</v>
      </c>
      <c r="H429" t="s">
        <v>1133</v>
      </c>
    </row>
    <row r="430" spans="1:8" x14ac:dyDescent="0.25">
      <c r="A430" t="s">
        <v>12</v>
      </c>
      <c r="B430" t="s">
        <v>536</v>
      </c>
      <c r="C430" t="s">
        <v>1113</v>
      </c>
      <c r="D430" t="s">
        <v>1122</v>
      </c>
      <c r="E430">
        <v>45.39</v>
      </c>
      <c r="F430">
        <v>862197</v>
      </c>
      <c r="G430" t="s">
        <v>1128</v>
      </c>
      <c r="H430" t="s">
        <v>1133</v>
      </c>
    </row>
    <row r="431" spans="1:8" x14ac:dyDescent="0.25">
      <c r="A431" t="s">
        <v>61</v>
      </c>
      <c r="B431" t="s">
        <v>537</v>
      </c>
      <c r="C431" t="s">
        <v>1113</v>
      </c>
      <c r="D431" t="s">
        <v>1122</v>
      </c>
      <c r="E431">
        <v>77.66</v>
      </c>
      <c r="F431">
        <v>279298</v>
      </c>
      <c r="G431" t="s">
        <v>1131</v>
      </c>
      <c r="H431" t="s">
        <v>1133</v>
      </c>
    </row>
    <row r="432" spans="1:8" x14ac:dyDescent="0.25">
      <c r="A432" t="s">
        <v>62</v>
      </c>
      <c r="B432" t="s">
        <v>538</v>
      </c>
      <c r="C432" t="s">
        <v>1112</v>
      </c>
      <c r="D432" t="s">
        <v>1121</v>
      </c>
      <c r="E432">
        <v>57.09</v>
      </c>
      <c r="F432">
        <v>369218</v>
      </c>
      <c r="G432" t="s">
        <v>1129</v>
      </c>
      <c r="H432" t="s">
        <v>1133</v>
      </c>
    </row>
    <row r="433" spans="1:8" x14ac:dyDescent="0.25">
      <c r="A433" t="s">
        <v>61</v>
      </c>
      <c r="B433" t="s">
        <v>539</v>
      </c>
      <c r="C433" t="s">
        <v>1112</v>
      </c>
      <c r="D433" t="s">
        <v>1121</v>
      </c>
      <c r="E433">
        <v>39.58</v>
      </c>
      <c r="F433">
        <v>148144</v>
      </c>
      <c r="G433" t="s">
        <v>1128</v>
      </c>
      <c r="H433" t="s">
        <v>1134</v>
      </c>
    </row>
    <row r="434" spans="1:8" x14ac:dyDescent="0.25">
      <c r="A434" t="s">
        <v>26</v>
      </c>
      <c r="B434" t="s">
        <v>540</v>
      </c>
      <c r="C434" t="s">
        <v>1114</v>
      </c>
      <c r="D434" t="s">
        <v>1118</v>
      </c>
      <c r="E434">
        <v>54.99</v>
      </c>
      <c r="F434">
        <v>841725</v>
      </c>
      <c r="G434" t="s">
        <v>1131</v>
      </c>
      <c r="H434" t="s">
        <v>1133</v>
      </c>
    </row>
    <row r="435" spans="1:8" x14ac:dyDescent="0.25">
      <c r="A435" t="s">
        <v>20</v>
      </c>
      <c r="B435" t="s">
        <v>541</v>
      </c>
      <c r="C435" t="s">
        <v>1109</v>
      </c>
      <c r="D435" t="s">
        <v>1127</v>
      </c>
      <c r="E435">
        <v>73.75</v>
      </c>
      <c r="F435">
        <v>117559</v>
      </c>
      <c r="G435" t="s">
        <v>1129</v>
      </c>
      <c r="H435" t="s">
        <v>1133</v>
      </c>
    </row>
    <row r="436" spans="1:8" x14ac:dyDescent="0.25">
      <c r="A436" t="s">
        <v>54</v>
      </c>
      <c r="B436" t="s">
        <v>542</v>
      </c>
      <c r="C436" t="s">
        <v>1115</v>
      </c>
      <c r="D436" t="s">
        <v>1122</v>
      </c>
      <c r="E436">
        <v>87.23</v>
      </c>
      <c r="F436">
        <v>305756</v>
      </c>
      <c r="G436" t="s">
        <v>1132</v>
      </c>
      <c r="H436" t="s">
        <v>1133</v>
      </c>
    </row>
    <row r="437" spans="1:8" x14ac:dyDescent="0.25">
      <c r="A437" t="s">
        <v>44</v>
      </c>
      <c r="B437" t="s">
        <v>543</v>
      </c>
      <c r="C437" t="s">
        <v>1114</v>
      </c>
      <c r="D437" t="s">
        <v>1127</v>
      </c>
      <c r="E437">
        <v>64.37</v>
      </c>
      <c r="F437">
        <v>902525</v>
      </c>
      <c r="G437" t="s">
        <v>1132</v>
      </c>
      <c r="H437" t="s">
        <v>1134</v>
      </c>
    </row>
    <row r="438" spans="1:8" x14ac:dyDescent="0.25">
      <c r="A438" t="s">
        <v>46</v>
      </c>
      <c r="B438" t="s">
        <v>544</v>
      </c>
      <c r="C438" t="s">
        <v>1109</v>
      </c>
      <c r="D438" t="s">
        <v>1122</v>
      </c>
      <c r="E438">
        <v>63.29</v>
      </c>
      <c r="F438">
        <v>516242</v>
      </c>
      <c r="G438" t="s">
        <v>1132</v>
      </c>
      <c r="H438" t="s">
        <v>1134</v>
      </c>
    </row>
    <row r="439" spans="1:8" x14ac:dyDescent="0.25">
      <c r="A439" t="s">
        <v>64</v>
      </c>
      <c r="B439" t="s">
        <v>545</v>
      </c>
      <c r="C439" t="s">
        <v>1110</v>
      </c>
      <c r="D439" t="s">
        <v>1119</v>
      </c>
      <c r="E439">
        <v>50.48</v>
      </c>
      <c r="F439">
        <v>875188</v>
      </c>
      <c r="G439" t="s">
        <v>1128</v>
      </c>
      <c r="H439" t="s">
        <v>1134</v>
      </c>
    </row>
    <row r="440" spans="1:8" x14ac:dyDescent="0.25">
      <c r="A440" t="s">
        <v>69</v>
      </c>
      <c r="B440" t="s">
        <v>546</v>
      </c>
      <c r="C440" t="s">
        <v>1113</v>
      </c>
      <c r="D440" t="s">
        <v>1126</v>
      </c>
      <c r="E440">
        <v>85.61</v>
      </c>
      <c r="F440">
        <v>458453</v>
      </c>
      <c r="G440" t="s">
        <v>1130</v>
      </c>
      <c r="H440" t="s">
        <v>1134</v>
      </c>
    </row>
    <row r="441" spans="1:8" x14ac:dyDescent="0.25">
      <c r="A441" t="s">
        <v>62</v>
      </c>
      <c r="B441" t="s">
        <v>547</v>
      </c>
      <c r="C441" t="s">
        <v>1110</v>
      </c>
      <c r="D441" t="s">
        <v>1124</v>
      </c>
      <c r="E441">
        <v>99.64</v>
      </c>
      <c r="F441">
        <v>926202</v>
      </c>
      <c r="G441" t="s">
        <v>1130</v>
      </c>
      <c r="H441" t="s">
        <v>1134</v>
      </c>
    </row>
    <row r="442" spans="1:8" x14ac:dyDescent="0.25">
      <c r="A442" t="s">
        <v>46</v>
      </c>
      <c r="B442" t="s">
        <v>548</v>
      </c>
      <c r="C442" t="s">
        <v>1114</v>
      </c>
      <c r="D442" t="s">
        <v>1123</v>
      </c>
      <c r="E442">
        <v>83.53</v>
      </c>
      <c r="F442">
        <v>958109</v>
      </c>
      <c r="G442" t="s">
        <v>1131</v>
      </c>
      <c r="H442" t="s">
        <v>1133</v>
      </c>
    </row>
    <row r="443" spans="1:8" x14ac:dyDescent="0.25">
      <c r="A443" t="s">
        <v>56</v>
      </c>
      <c r="B443" t="s">
        <v>549</v>
      </c>
      <c r="C443" t="s">
        <v>1112</v>
      </c>
      <c r="D443" t="s">
        <v>1127</v>
      </c>
      <c r="E443">
        <v>49.32</v>
      </c>
      <c r="F443">
        <v>560749</v>
      </c>
      <c r="G443" t="s">
        <v>1132</v>
      </c>
      <c r="H443" t="s">
        <v>1133</v>
      </c>
    </row>
    <row r="444" spans="1:8" x14ac:dyDescent="0.25">
      <c r="A444" t="s">
        <v>19</v>
      </c>
      <c r="B444" t="s">
        <v>550</v>
      </c>
      <c r="C444" t="s">
        <v>1111</v>
      </c>
      <c r="D444" t="s">
        <v>1118</v>
      </c>
      <c r="E444">
        <v>68.33</v>
      </c>
      <c r="F444">
        <v>226211</v>
      </c>
      <c r="G444" t="s">
        <v>1132</v>
      </c>
      <c r="H444" t="s">
        <v>1133</v>
      </c>
    </row>
    <row r="445" spans="1:8" x14ac:dyDescent="0.25">
      <c r="A445" t="s">
        <v>58</v>
      </c>
      <c r="B445" t="s">
        <v>551</v>
      </c>
      <c r="C445" t="s">
        <v>1116</v>
      </c>
      <c r="D445" t="s">
        <v>1120</v>
      </c>
      <c r="E445">
        <v>87.46</v>
      </c>
      <c r="F445">
        <v>929897</v>
      </c>
      <c r="G445" t="s">
        <v>1130</v>
      </c>
      <c r="H445" t="s">
        <v>1134</v>
      </c>
    </row>
    <row r="446" spans="1:8" x14ac:dyDescent="0.25">
      <c r="A446" t="s">
        <v>100</v>
      </c>
      <c r="B446" t="s">
        <v>552</v>
      </c>
      <c r="C446" t="s">
        <v>1115</v>
      </c>
      <c r="D446" t="s">
        <v>1120</v>
      </c>
      <c r="E446">
        <v>68.099999999999994</v>
      </c>
      <c r="F446">
        <v>101501</v>
      </c>
      <c r="G446" t="s">
        <v>1131</v>
      </c>
      <c r="H446" t="s">
        <v>1133</v>
      </c>
    </row>
    <row r="447" spans="1:8" x14ac:dyDescent="0.25">
      <c r="A447" t="s">
        <v>63</v>
      </c>
      <c r="B447" t="s">
        <v>553</v>
      </c>
      <c r="C447" t="s">
        <v>1116</v>
      </c>
      <c r="D447" t="s">
        <v>1122</v>
      </c>
      <c r="E447">
        <v>47.06</v>
      </c>
      <c r="F447">
        <v>342653</v>
      </c>
      <c r="G447" t="s">
        <v>1129</v>
      </c>
      <c r="H447" t="s">
        <v>1133</v>
      </c>
    </row>
    <row r="448" spans="1:8" x14ac:dyDescent="0.25">
      <c r="A448" t="s">
        <v>82</v>
      </c>
      <c r="B448" t="s">
        <v>554</v>
      </c>
      <c r="C448" t="s">
        <v>1108</v>
      </c>
      <c r="D448" t="s">
        <v>1120</v>
      </c>
      <c r="E448">
        <v>66.47</v>
      </c>
      <c r="F448">
        <v>260957</v>
      </c>
      <c r="G448" t="s">
        <v>1129</v>
      </c>
      <c r="H448" t="s">
        <v>1133</v>
      </c>
    </row>
    <row r="449" spans="1:8" x14ac:dyDescent="0.25">
      <c r="A449" t="s">
        <v>41</v>
      </c>
      <c r="B449" t="s">
        <v>555</v>
      </c>
      <c r="C449" t="s">
        <v>1116</v>
      </c>
      <c r="D449" t="s">
        <v>1120</v>
      </c>
      <c r="E449">
        <v>64.98</v>
      </c>
      <c r="F449">
        <v>257258</v>
      </c>
      <c r="G449" t="s">
        <v>1131</v>
      </c>
      <c r="H449" t="s">
        <v>1134</v>
      </c>
    </row>
    <row r="450" spans="1:8" x14ac:dyDescent="0.25">
      <c r="A450" t="s">
        <v>80</v>
      </c>
      <c r="B450" t="s">
        <v>556</v>
      </c>
      <c r="C450" t="s">
        <v>1111</v>
      </c>
      <c r="D450" t="s">
        <v>1126</v>
      </c>
      <c r="E450">
        <v>92.6</v>
      </c>
      <c r="F450">
        <v>872160</v>
      </c>
      <c r="G450" t="s">
        <v>1128</v>
      </c>
      <c r="H450" t="s">
        <v>1133</v>
      </c>
    </row>
    <row r="451" spans="1:8" x14ac:dyDescent="0.25">
      <c r="A451" t="s">
        <v>106</v>
      </c>
      <c r="B451" t="s">
        <v>557</v>
      </c>
      <c r="C451" t="s">
        <v>1115</v>
      </c>
      <c r="D451" t="s">
        <v>1126</v>
      </c>
      <c r="E451">
        <v>81.069999999999993</v>
      </c>
      <c r="F451">
        <v>104455</v>
      </c>
      <c r="G451" t="s">
        <v>1129</v>
      </c>
      <c r="H451" t="s">
        <v>1133</v>
      </c>
    </row>
    <row r="452" spans="1:8" x14ac:dyDescent="0.25">
      <c r="A452" t="s">
        <v>26</v>
      </c>
      <c r="B452" t="s">
        <v>558</v>
      </c>
      <c r="C452" t="s">
        <v>1110</v>
      </c>
      <c r="D452" t="s">
        <v>1118</v>
      </c>
      <c r="E452">
        <v>55.22</v>
      </c>
      <c r="F452">
        <v>993701</v>
      </c>
      <c r="G452" t="s">
        <v>1132</v>
      </c>
      <c r="H452" t="s">
        <v>1133</v>
      </c>
    </row>
    <row r="453" spans="1:8" x14ac:dyDescent="0.25">
      <c r="A453" t="s">
        <v>68</v>
      </c>
      <c r="B453" t="s">
        <v>559</v>
      </c>
      <c r="C453" t="s">
        <v>1109</v>
      </c>
      <c r="D453" t="s">
        <v>1123</v>
      </c>
      <c r="E453">
        <v>75.11</v>
      </c>
      <c r="F453">
        <v>257532</v>
      </c>
      <c r="G453" t="s">
        <v>1131</v>
      </c>
      <c r="H453" t="s">
        <v>1133</v>
      </c>
    </row>
    <row r="454" spans="1:8" x14ac:dyDescent="0.25">
      <c r="A454" t="s">
        <v>44</v>
      </c>
      <c r="B454" t="s">
        <v>560</v>
      </c>
      <c r="C454" t="s">
        <v>1114</v>
      </c>
      <c r="D454" t="s">
        <v>1121</v>
      </c>
      <c r="E454">
        <v>45.51</v>
      </c>
      <c r="F454">
        <v>639698</v>
      </c>
      <c r="G454" t="s">
        <v>1129</v>
      </c>
      <c r="H454" t="s">
        <v>1134</v>
      </c>
    </row>
    <row r="455" spans="1:8" x14ac:dyDescent="0.25">
      <c r="A455" t="s">
        <v>13</v>
      </c>
      <c r="B455" t="s">
        <v>561</v>
      </c>
      <c r="C455" t="s">
        <v>1116</v>
      </c>
      <c r="D455" t="s">
        <v>1124</v>
      </c>
      <c r="E455">
        <v>97.08</v>
      </c>
      <c r="F455">
        <v>494139</v>
      </c>
      <c r="G455" t="s">
        <v>1129</v>
      </c>
      <c r="H455" t="s">
        <v>1133</v>
      </c>
    </row>
    <row r="456" spans="1:8" x14ac:dyDescent="0.25">
      <c r="A456" t="s">
        <v>67</v>
      </c>
      <c r="B456" t="s">
        <v>562</v>
      </c>
      <c r="C456" t="s">
        <v>1111</v>
      </c>
      <c r="D456" t="s">
        <v>1118</v>
      </c>
      <c r="E456">
        <v>68.569999999999993</v>
      </c>
      <c r="F456">
        <v>688986</v>
      </c>
      <c r="G456" t="s">
        <v>1131</v>
      </c>
      <c r="H456" t="s">
        <v>1133</v>
      </c>
    </row>
    <row r="457" spans="1:8" x14ac:dyDescent="0.25">
      <c r="A457" t="s">
        <v>92</v>
      </c>
      <c r="B457" t="s">
        <v>563</v>
      </c>
      <c r="C457" t="s">
        <v>1117</v>
      </c>
      <c r="D457" t="s">
        <v>1118</v>
      </c>
      <c r="E457">
        <v>80.31</v>
      </c>
      <c r="F457">
        <v>638799</v>
      </c>
      <c r="G457" t="s">
        <v>1128</v>
      </c>
      <c r="H457" t="s">
        <v>1133</v>
      </c>
    </row>
    <row r="458" spans="1:8" x14ac:dyDescent="0.25">
      <c r="A458" t="s">
        <v>29</v>
      </c>
      <c r="B458" t="s">
        <v>564</v>
      </c>
      <c r="C458" t="s">
        <v>1115</v>
      </c>
      <c r="D458" t="s">
        <v>1125</v>
      </c>
      <c r="E458">
        <v>61.64</v>
      </c>
      <c r="F458">
        <v>781191</v>
      </c>
      <c r="G458" t="s">
        <v>1130</v>
      </c>
      <c r="H458" t="s">
        <v>1133</v>
      </c>
    </row>
    <row r="459" spans="1:8" x14ac:dyDescent="0.25">
      <c r="A459" t="s">
        <v>90</v>
      </c>
      <c r="B459" t="s">
        <v>565</v>
      </c>
      <c r="C459" t="s">
        <v>1111</v>
      </c>
      <c r="D459" t="s">
        <v>1123</v>
      </c>
      <c r="E459">
        <v>71.83</v>
      </c>
      <c r="F459">
        <v>943944</v>
      </c>
      <c r="G459" t="s">
        <v>1132</v>
      </c>
      <c r="H459" t="s">
        <v>1134</v>
      </c>
    </row>
    <row r="460" spans="1:8" x14ac:dyDescent="0.25">
      <c r="A460" t="s">
        <v>89</v>
      </c>
      <c r="B460" t="s">
        <v>566</v>
      </c>
      <c r="C460" t="s">
        <v>1111</v>
      </c>
      <c r="D460" t="s">
        <v>1119</v>
      </c>
      <c r="E460">
        <v>74.16</v>
      </c>
      <c r="F460">
        <v>219356</v>
      </c>
      <c r="G460" t="s">
        <v>1132</v>
      </c>
      <c r="H460" t="s">
        <v>1133</v>
      </c>
    </row>
    <row r="461" spans="1:8" x14ac:dyDescent="0.25">
      <c r="A461" t="s">
        <v>104</v>
      </c>
      <c r="B461" t="s">
        <v>567</v>
      </c>
      <c r="C461" t="s">
        <v>1108</v>
      </c>
      <c r="D461" t="s">
        <v>1127</v>
      </c>
      <c r="E461">
        <v>61.18</v>
      </c>
      <c r="F461">
        <v>931057</v>
      </c>
      <c r="G461" t="s">
        <v>1129</v>
      </c>
      <c r="H461" t="s">
        <v>1134</v>
      </c>
    </row>
    <row r="462" spans="1:8" x14ac:dyDescent="0.25">
      <c r="A462" t="s">
        <v>17</v>
      </c>
      <c r="B462" t="s">
        <v>568</v>
      </c>
      <c r="C462" t="s">
        <v>1112</v>
      </c>
      <c r="D462" t="s">
        <v>1118</v>
      </c>
      <c r="E462">
        <v>52.29</v>
      </c>
      <c r="F462">
        <v>187319</v>
      </c>
      <c r="G462" t="s">
        <v>1132</v>
      </c>
      <c r="H462" t="s">
        <v>1134</v>
      </c>
    </row>
    <row r="463" spans="1:8" x14ac:dyDescent="0.25">
      <c r="A463" t="s">
        <v>104</v>
      </c>
      <c r="B463" t="s">
        <v>569</v>
      </c>
      <c r="C463" t="s">
        <v>1108</v>
      </c>
      <c r="D463" t="s">
        <v>1124</v>
      </c>
      <c r="E463">
        <v>48.58</v>
      </c>
      <c r="F463">
        <v>316167</v>
      </c>
      <c r="G463" t="s">
        <v>1129</v>
      </c>
      <c r="H463" t="s">
        <v>1134</v>
      </c>
    </row>
    <row r="464" spans="1:8" x14ac:dyDescent="0.25">
      <c r="A464" t="s">
        <v>107</v>
      </c>
      <c r="B464" t="s">
        <v>570</v>
      </c>
      <c r="C464" t="s">
        <v>1112</v>
      </c>
      <c r="D464" t="s">
        <v>1122</v>
      </c>
      <c r="E464">
        <v>96.67</v>
      </c>
      <c r="F464">
        <v>722465</v>
      </c>
      <c r="G464" t="s">
        <v>1128</v>
      </c>
      <c r="H464" t="s">
        <v>1133</v>
      </c>
    </row>
    <row r="465" spans="1:8" x14ac:dyDescent="0.25">
      <c r="A465" t="s">
        <v>76</v>
      </c>
      <c r="B465" t="s">
        <v>571</v>
      </c>
      <c r="C465" t="s">
        <v>1109</v>
      </c>
      <c r="D465" t="s">
        <v>1124</v>
      </c>
      <c r="E465">
        <v>36.71</v>
      </c>
      <c r="F465">
        <v>117738</v>
      </c>
      <c r="G465" t="s">
        <v>1128</v>
      </c>
      <c r="H465" t="s">
        <v>1133</v>
      </c>
    </row>
    <row r="466" spans="1:8" x14ac:dyDescent="0.25">
      <c r="A466" t="s">
        <v>66</v>
      </c>
      <c r="B466" t="s">
        <v>572</v>
      </c>
      <c r="C466" t="s">
        <v>1117</v>
      </c>
      <c r="D466" t="s">
        <v>1124</v>
      </c>
      <c r="E466">
        <v>61.43</v>
      </c>
      <c r="F466">
        <v>972219</v>
      </c>
      <c r="G466" t="s">
        <v>1128</v>
      </c>
      <c r="H466" t="s">
        <v>1133</v>
      </c>
    </row>
    <row r="467" spans="1:8" x14ac:dyDescent="0.25">
      <c r="A467" t="s">
        <v>40</v>
      </c>
      <c r="B467" t="s">
        <v>573</v>
      </c>
      <c r="C467" t="s">
        <v>1115</v>
      </c>
      <c r="D467" t="s">
        <v>1122</v>
      </c>
      <c r="E467">
        <v>83.35</v>
      </c>
      <c r="F467">
        <v>501954</v>
      </c>
      <c r="G467" t="s">
        <v>1128</v>
      </c>
      <c r="H467" t="s">
        <v>1133</v>
      </c>
    </row>
    <row r="468" spans="1:8" x14ac:dyDescent="0.25">
      <c r="A468" t="s">
        <v>9</v>
      </c>
      <c r="B468" t="s">
        <v>574</v>
      </c>
      <c r="C468" t="s">
        <v>1115</v>
      </c>
      <c r="D468" t="s">
        <v>1122</v>
      </c>
      <c r="E468">
        <v>84.51</v>
      </c>
      <c r="F468">
        <v>108276</v>
      </c>
      <c r="G468" t="s">
        <v>1131</v>
      </c>
      <c r="H468" t="s">
        <v>1133</v>
      </c>
    </row>
    <row r="469" spans="1:8" x14ac:dyDescent="0.25">
      <c r="A469" t="s">
        <v>95</v>
      </c>
      <c r="B469" t="s">
        <v>575</v>
      </c>
      <c r="C469" t="s">
        <v>1113</v>
      </c>
      <c r="D469" t="s">
        <v>1119</v>
      </c>
      <c r="E469">
        <v>50.84</v>
      </c>
      <c r="F469">
        <v>437597</v>
      </c>
      <c r="G469" t="s">
        <v>1130</v>
      </c>
      <c r="H469" t="s">
        <v>1133</v>
      </c>
    </row>
    <row r="470" spans="1:8" x14ac:dyDescent="0.25">
      <c r="A470" t="s">
        <v>17</v>
      </c>
      <c r="B470" t="s">
        <v>576</v>
      </c>
      <c r="C470" t="s">
        <v>1108</v>
      </c>
      <c r="D470" t="s">
        <v>1124</v>
      </c>
      <c r="E470">
        <v>55.45</v>
      </c>
      <c r="F470">
        <v>842340</v>
      </c>
      <c r="G470" t="s">
        <v>1130</v>
      </c>
      <c r="H470" t="s">
        <v>1134</v>
      </c>
    </row>
    <row r="471" spans="1:8" x14ac:dyDescent="0.25">
      <c r="A471" t="s">
        <v>104</v>
      </c>
      <c r="B471" t="s">
        <v>577</v>
      </c>
      <c r="C471" t="s">
        <v>1108</v>
      </c>
      <c r="D471" t="s">
        <v>1123</v>
      </c>
      <c r="E471">
        <v>66.17</v>
      </c>
      <c r="F471">
        <v>676871</v>
      </c>
      <c r="G471" t="s">
        <v>1128</v>
      </c>
      <c r="H471" t="s">
        <v>1134</v>
      </c>
    </row>
    <row r="472" spans="1:8" x14ac:dyDescent="0.25">
      <c r="A472" t="s">
        <v>14</v>
      </c>
      <c r="B472" t="s">
        <v>578</v>
      </c>
      <c r="C472" t="s">
        <v>1110</v>
      </c>
      <c r="D472" t="s">
        <v>1123</v>
      </c>
      <c r="E472">
        <v>94.91</v>
      </c>
      <c r="F472">
        <v>366718</v>
      </c>
      <c r="G472" t="s">
        <v>1132</v>
      </c>
      <c r="H472" t="s">
        <v>1133</v>
      </c>
    </row>
    <row r="473" spans="1:8" x14ac:dyDescent="0.25">
      <c r="A473" t="s">
        <v>91</v>
      </c>
      <c r="B473" t="s">
        <v>579</v>
      </c>
      <c r="C473" t="s">
        <v>1109</v>
      </c>
      <c r="D473" t="s">
        <v>1122</v>
      </c>
      <c r="E473">
        <v>95.02</v>
      </c>
      <c r="F473">
        <v>822794</v>
      </c>
      <c r="G473" t="s">
        <v>1128</v>
      </c>
      <c r="H473" t="s">
        <v>1133</v>
      </c>
    </row>
    <row r="474" spans="1:8" x14ac:dyDescent="0.25">
      <c r="A474" t="s">
        <v>22</v>
      </c>
      <c r="B474" t="s">
        <v>580</v>
      </c>
      <c r="C474" t="s">
        <v>1116</v>
      </c>
      <c r="D474" t="s">
        <v>1120</v>
      </c>
      <c r="E474">
        <v>58.44</v>
      </c>
      <c r="F474">
        <v>602839</v>
      </c>
      <c r="G474" t="s">
        <v>1131</v>
      </c>
      <c r="H474" t="s">
        <v>1134</v>
      </c>
    </row>
    <row r="475" spans="1:8" x14ac:dyDescent="0.25">
      <c r="A475" t="s">
        <v>13</v>
      </c>
      <c r="B475" t="s">
        <v>581</v>
      </c>
      <c r="C475" t="s">
        <v>1115</v>
      </c>
      <c r="D475" t="s">
        <v>1123</v>
      </c>
      <c r="E475">
        <v>85.69</v>
      </c>
      <c r="F475">
        <v>861399</v>
      </c>
      <c r="G475" t="s">
        <v>1129</v>
      </c>
      <c r="H475" t="s">
        <v>1134</v>
      </c>
    </row>
    <row r="476" spans="1:8" x14ac:dyDescent="0.25">
      <c r="A476" t="s">
        <v>52</v>
      </c>
      <c r="B476" t="s">
        <v>582</v>
      </c>
      <c r="C476" t="s">
        <v>1108</v>
      </c>
      <c r="D476" t="s">
        <v>1121</v>
      </c>
      <c r="E476">
        <v>93.66</v>
      </c>
      <c r="F476">
        <v>514179</v>
      </c>
      <c r="G476" t="s">
        <v>1130</v>
      </c>
      <c r="H476" t="s">
        <v>1133</v>
      </c>
    </row>
    <row r="477" spans="1:8" x14ac:dyDescent="0.25">
      <c r="A477" t="s">
        <v>106</v>
      </c>
      <c r="B477" t="s">
        <v>583</v>
      </c>
      <c r="C477" t="s">
        <v>1114</v>
      </c>
      <c r="D477" t="s">
        <v>1123</v>
      </c>
      <c r="E477">
        <v>67.77</v>
      </c>
      <c r="F477">
        <v>265708</v>
      </c>
      <c r="G477" t="s">
        <v>1132</v>
      </c>
      <c r="H477" t="s">
        <v>1133</v>
      </c>
    </row>
    <row r="478" spans="1:8" x14ac:dyDescent="0.25">
      <c r="A478" t="s">
        <v>77</v>
      </c>
      <c r="B478" t="s">
        <v>584</v>
      </c>
      <c r="C478" t="s">
        <v>1117</v>
      </c>
      <c r="D478" t="s">
        <v>1120</v>
      </c>
      <c r="E478">
        <v>87.36</v>
      </c>
      <c r="F478">
        <v>401577</v>
      </c>
      <c r="G478" t="s">
        <v>1132</v>
      </c>
      <c r="H478" t="s">
        <v>1134</v>
      </c>
    </row>
    <row r="479" spans="1:8" x14ac:dyDescent="0.25">
      <c r="A479" t="s">
        <v>69</v>
      </c>
      <c r="B479" t="s">
        <v>585</v>
      </c>
      <c r="C479" t="s">
        <v>1108</v>
      </c>
      <c r="D479" t="s">
        <v>1123</v>
      </c>
      <c r="E479">
        <v>80.23</v>
      </c>
      <c r="F479">
        <v>943421</v>
      </c>
      <c r="G479" t="s">
        <v>1130</v>
      </c>
      <c r="H479" t="s">
        <v>1133</v>
      </c>
    </row>
    <row r="480" spans="1:8" x14ac:dyDescent="0.25">
      <c r="A480" t="s">
        <v>40</v>
      </c>
      <c r="B480" t="s">
        <v>586</v>
      </c>
      <c r="C480" t="s">
        <v>1114</v>
      </c>
      <c r="D480" t="s">
        <v>1124</v>
      </c>
      <c r="E480">
        <v>97.13</v>
      </c>
      <c r="F480">
        <v>410831</v>
      </c>
      <c r="G480" t="s">
        <v>1130</v>
      </c>
      <c r="H480" t="s">
        <v>1133</v>
      </c>
    </row>
    <row r="481" spans="1:8" x14ac:dyDescent="0.25">
      <c r="A481" t="s">
        <v>17</v>
      </c>
      <c r="B481" t="s">
        <v>587</v>
      </c>
      <c r="C481" t="s">
        <v>1113</v>
      </c>
      <c r="D481" t="s">
        <v>1120</v>
      </c>
      <c r="E481">
        <v>38.35</v>
      </c>
      <c r="F481">
        <v>743038</v>
      </c>
      <c r="G481" t="s">
        <v>1128</v>
      </c>
      <c r="H481" t="s">
        <v>1133</v>
      </c>
    </row>
    <row r="482" spans="1:8" x14ac:dyDescent="0.25">
      <c r="A482" t="s">
        <v>104</v>
      </c>
      <c r="B482" t="s">
        <v>588</v>
      </c>
      <c r="C482" t="s">
        <v>1116</v>
      </c>
      <c r="D482" t="s">
        <v>1121</v>
      </c>
      <c r="E482">
        <v>54.85</v>
      </c>
      <c r="F482">
        <v>915897</v>
      </c>
      <c r="G482" t="s">
        <v>1131</v>
      </c>
      <c r="H482" t="s">
        <v>1133</v>
      </c>
    </row>
    <row r="483" spans="1:8" x14ac:dyDescent="0.25">
      <c r="A483" t="s">
        <v>45</v>
      </c>
      <c r="B483" t="s">
        <v>589</v>
      </c>
      <c r="C483" t="s">
        <v>1111</v>
      </c>
      <c r="D483" t="s">
        <v>1118</v>
      </c>
      <c r="E483">
        <v>40.89</v>
      </c>
      <c r="F483">
        <v>981019</v>
      </c>
      <c r="G483" t="s">
        <v>1128</v>
      </c>
      <c r="H483" t="s">
        <v>1133</v>
      </c>
    </row>
    <row r="484" spans="1:8" x14ac:dyDescent="0.25">
      <c r="A484" t="s">
        <v>98</v>
      </c>
      <c r="B484" t="s">
        <v>590</v>
      </c>
      <c r="C484" t="s">
        <v>1108</v>
      </c>
      <c r="D484" t="s">
        <v>1122</v>
      </c>
      <c r="E484">
        <v>42.22</v>
      </c>
      <c r="F484">
        <v>997016</v>
      </c>
      <c r="G484" t="s">
        <v>1131</v>
      </c>
      <c r="H484" t="s">
        <v>1134</v>
      </c>
    </row>
    <row r="485" spans="1:8" x14ac:dyDescent="0.25">
      <c r="A485" t="s">
        <v>63</v>
      </c>
      <c r="B485" t="s">
        <v>591</v>
      </c>
      <c r="C485" t="s">
        <v>1117</v>
      </c>
      <c r="D485" t="s">
        <v>1122</v>
      </c>
      <c r="E485">
        <v>80.61</v>
      </c>
      <c r="F485">
        <v>300569</v>
      </c>
      <c r="G485" t="s">
        <v>1130</v>
      </c>
      <c r="H485" t="s">
        <v>1133</v>
      </c>
    </row>
    <row r="486" spans="1:8" x14ac:dyDescent="0.25">
      <c r="A486" t="s">
        <v>70</v>
      </c>
      <c r="B486" t="s">
        <v>592</v>
      </c>
      <c r="C486" t="s">
        <v>1117</v>
      </c>
      <c r="D486" t="s">
        <v>1119</v>
      </c>
      <c r="E486">
        <v>76.55</v>
      </c>
      <c r="F486">
        <v>706730</v>
      </c>
      <c r="G486" t="s">
        <v>1128</v>
      </c>
      <c r="H486" t="s">
        <v>1134</v>
      </c>
    </row>
    <row r="487" spans="1:8" x14ac:dyDescent="0.25">
      <c r="A487" t="s">
        <v>83</v>
      </c>
      <c r="B487" t="s">
        <v>593</v>
      </c>
      <c r="C487" t="s">
        <v>1112</v>
      </c>
      <c r="D487" t="s">
        <v>1120</v>
      </c>
      <c r="E487">
        <v>37.200000000000003</v>
      </c>
      <c r="F487">
        <v>145239</v>
      </c>
      <c r="G487" t="s">
        <v>1131</v>
      </c>
      <c r="H487" t="s">
        <v>1134</v>
      </c>
    </row>
    <row r="488" spans="1:8" x14ac:dyDescent="0.25">
      <c r="A488" t="s">
        <v>85</v>
      </c>
      <c r="B488" t="s">
        <v>594</v>
      </c>
      <c r="C488" t="s">
        <v>1115</v>
      </c>
      <c r="D488" t="s">
        <v>1119</v>
      </c>
      <c r="E488">
        <v>41.03</v>
      </c>
      <c r="F488">
        <v>711815</v>
      </c>
      <c r="G488" t="s">
        <v>1132</v>
      </c>
      <c r="H488" t="s">
        <v>1133</v>
      </c>
    </row>
    <row r="489" spans="1:8" x14ac:dyDescent="0.25">
      <c r="A489" t="s">
        <v>73</v>
      </c>
      <c r="B489" t="s">
        <v>595</v>
      </c>
      <c r="C489" t="s">
        <v>1116</v>
      </c>
      <c r="D489" t="s">
        <v>1125</v>
      </c>
      <c r="E489">
        <v>50.31</v>
      </c>
      <c r="F489">
        <v>266313</v>
      </c>
      <c r="G489" t="s">
        <v>1128</v>
      </c>
      <c r="H489" t="s">
        <v>1133</v>
      </c>
    </row>
    <row r="490" spans="1:8" x14ac:dyDescent="0.25">
      <c r="A490" t="s">
        <v>85</v>
      </c>
      <c r="B490" t="s">
        <v>596</v>
      </c>
      <c r="C490" t="s">
        <v>1112</v>
      </c>
      <c r="D490" t="s">
        <v>1118</v>
      </c>
      <c r="E490">
        <v>70.98</v>
      </c>
      <c r="F490">
        <v>808561</v>
      </c>
      <c r="G490" t="s">
        <v>1131</v>
      </c>
      <c r="H490" t="s">
        <v>1134</v>
      </c>
    </row>
    <row r="491" spans="1:8" x14ac:dyDescent="0.25">
      <c r="A491" t="s">
        <v>101</v>
      </c>
      <c r="B491" t="s">
        <v>597</v>
      </c>
      <c r="C491" t="s">
        <v>1110</v>
      </c>
      <c r="D491" t="s">
        <v>1120</v>
      </c>
      <c r="E491">
        <v>36.4</v>
      </c>
      <c r="F491">
        <v>648597</v>
      </c>
      <c r="G491" t="s">
        <v>1130</v>
      </c>
      <c r="H491" t="s">
        <v>1133</v>
      </c>
    </row>
    <row r="492" spans="1:8" x14ac:dyDescent="0.25">
      <c r="A492" t="s">
        <v>59</v>
      </c>
      <c r="B492" t="s">
        <v>598</v>
      </c>
      <c r="C492" t="s">
        <v>1109</v>
      </c>
      <c r="D492" t="s">
        <v>1118</v>
      </c>
      <c r="E492">
        <v>67.540000000000006</v>
      </c>
      <c r="F492">
        <v>548470</v>
      </c>
      <c r="G492" t="s">
        <v>1128</v>
      </c>
      <c r="H492" t="s">
        <v>1133</v>
      </c>
    </row>
    <row r="493" spans="1:8" x14ac:dyDescent="0.25">
      <c r="A493" t="s">
        <v>22</v>
      </c>
      <c r="B493" t="s">
        <v>599</v>
      </c>
      <c r="C493" t="s">
        <v>1112</v>
      </c>
      <c r="D493" t="s">
        <v>1120</v>
      </c>
      <c r="E493">
        <v>70.09</v>
      </c>
      <c r="F493">
        <v>710866</v>
      </c>
      <c r="G493" t="s">
        <v>1131</v>
      </c>
      <c r="H493" t="s">
        <v>1133</v>
      </c>
    </row>
    <row r="494" spans="1:8" x14ac:dyDescent="0.25">
      <c r="A494" t="s">
        <v>31</v>
      </c>
      <c r="B494" t="s">
        <v>600</v>
      </c>
      <c r="C494" t="s">
        <v>1114</v>
      </c>
      <c r="D494" t="s">
        <v>1120</v>
      </c>
      <c r="E494">
        <v>37</v>
      </c>
      <c r="F494">
        <v>903562</v>
      </c>
      <c r="G494" t="s">
        <v>1131</v>
      </c>
      <c r="H494" t="s">
        <v>1133</v>
      </c>
    </row>
    <row r="495" spans="1:8" x14ac:dyDescent="0.25">
      <c r="A495" t="s">
        <v>14</v>
      </c>
      <c r="B495" t="s">
        <v>601</v>
      </c>
      <c r="C495" t="s">
        <v>1109</v>
      </c>
      <c r="D495" t="s">
        <v>1122</v>
      </c>
      <c r="E495">
        <v>89.19</v>
      </c>
      <c r="F495">
        <v>354602</v>
      </c>
      <c r="G495" t="s">
        <v>1130</v>
      </c>
      <c r="H495" t="s">
        <v>1133</v>
      </c>
    </row>
    <row r="496" spans="1:8" x14ac:dyDescent="0.25">
      <c r="A496" t="s">
        <v>8</v>
      </c>
      <c r="B496" t="s">
        <v>602</v>
      </c>
      <c r="C496" t="s">
        <v>1112</v>
      </c>
      <c r="D496" t="s">
        <v>1124</v>
      </c>
      <c r="E496">
        <v>87.61</v>
      </c>
      <c r="F496">
        <v>950775</v>
      </c>
      <c r="G496" t="s">
        <v>1132</v>
      </c>
      <c r="H496" t="s">
        <v>1133</v>
      </c>
    </row>
    <row r="497" spans="1:8" x14ac:dyDescent="0.25">
      <c r="A497" t="s">
        <v>57</v>
      </c>
      <c r="B497" t="s">
        <v>603</v>
      </c>
      <c r="C497" t="s">
        <v>1117</v>
      </c>
      <c r="D497" t="s">
        <v>1120</v>
      </c>
      <c r="E497">
        <v>91.25</v>
      </c>
      <c r="F497">
        <v>274375</v>
      </c>
      <c r="G497" t="s">
        <v>1132</v>
      </c>
      <c r="H497" t="s">
        <v>1133</v>
      </c>
    </row>
    <row r="498" spans="1:8" x14ac:dyDescent="0.25">
      <c r="A498" t="s">
        <v>33</v>
      </c>
      <c r="B498" t="s">
        <v>604</v>
      </c>
      <c r="C498" t="s">
        <v>1115</v>
      </c>
      <c r="D498" t="s">
        <v>1120</v>
      </c>
      <c r="E498">
        <v>59.92</v>
      </c>
      <c r="F498">
        <v>930959</v>
      </c>
      <c r="G498" t="s">
        <v>1129</v>
      </c>
      <c r="H498" t="s">
        <v>1133</v>
      </c>
    </row>
    <row r="499" spans="1:8" x14ac:dyDescent="0.25">
      <c r="A499" t="s">
        <v>60</v>
      </c>
      <c r="B499" t="s">
        <v>605</v>
      </c>
      <c r="C499" t="s">
        <v>1115</v>
      </c>
      <c r="D499" t="s">
        <v>1119</v>
      </c>
      <c r="E499">
        <v>50.47</v>
      </c>
      <c r="F499">
        <v>767781</v>
      </c>
      <c r="G499" t="s">
        <v>1130</v>
      </c>
      <c r="H499" t="s">
        <v>1133</v>
      </c>
    </row>
    <row r="500" spans="1:8" x14ac:dyDescent="0.25">
      <c r="A500" t="s">
        <v>29</v>
      </c>
      <c r="B500" t="s">
        <v>606</v>
      </c>
      <c r="C500" t="s">
        <v>1111</v>
      </c>
      <c r="D500" t="s">
        <v>1125</v>
      </c>
      <c r="E500">
        <v>69.739999999999995</v>
      </c>
      <c r="F500">
        <v>323305</v>
      </c>
      <c r="G500" t="s">
        <v>1130</v>
      </c>
      <c r="H500" t="s">
        <v>1133</v>
      </c>
    </row>
    <row r="501" spans="1:8" x14ac:dyDescent="0.25">
      <c r="A501" t="s">
        <v>14</v>
      </c>
      <c r="B501" t="s">
        <v>607</v>
      </c>
      <c r="C501" t="s">
        <v>1116</v>
      </c>
      <c r="D501" t="s">
        <v>1118</v>
      </c>
      <c r="E501">
        <v>73.489999999999995</v>
      </c>
      <c r="F501">
        <v>689756</v>
      </c>
      <c r="G501" t="s">
        <v>1129</v>
      </c>
      <c r="H501" t="s">
        <v>1134</v>
      </c>
    </row>
    <row r="502" spans="1:8" x14ac:dyDescent="0.25">
      <c r="A502" t="s">
        <v>84</v>
      </c>
      <c r="B502" t="s">
        <v>608</v>
      </c>
      <c r="C502" t="s">
        <v>1112</v>
      </c>
      <c r="D502" t="s">
        <v>1126</v>
      </c>
      <c r="E502">
        <v>63.31</v>
      </c>
      <c r="F502">
        <v>440155</v>
      </c>
      <c r="G502" t="s">
        <v>1132</v>
      </c>
      <c r="H502" t="s">
        <v>1133</v>
      </c>
    </row>
    <row r="503" spans="1:8" x14ac:dyDescent="0.25">
      <c r="A503" t="s">
        <v>36</v>
      </c>
      <c r="B503" t="s">
        <v>609</v>
      </c>
      <c r="C503" t="s">
        <v>1111</v>
      </c>
      <c r="D503" t="s">
        <v>1124</v>
      </c>
      <c r="E503">
        <v>81.98</v>
      </c>
      <c r="F503">
        <v>705946</v>
      </c>
      <c r="G503" t="s">
        <v>1128</v>
      </c>
      <c r="H503" t="s">
        <v>1133</v>
      </c>
    </row>
    <row r="504" spans="1:8" x14ac:dyDescent="0.25">
      <c r="A504" t="s">
        <v>42</v>
      </c>
      <c r="B504" t="s">
        <v>610</v>
      </c>
      <c r="C504" t="s">
        <v>1117</v>
      </c>
      <c r="D504" t="s">
        <v>1122</v>
      </c>
      <c r="E504">
        <v>38.21</v>
      </c>
      <c r="F504">
        <v>972091</v>
      </c>
      <c r="G504" t="s">
        <v>1131</v>
      </c>
      <c r="H504" t="s">
        <v>1133</v>
      </c>
    </row>
    <row r="505" spans="1:8" x14ac:dyDescent="0.25">
      <c r="A505" t="s">
        <v>79</v>
      </c>
      <c r="B505" t="s">
        <v>611</v>
      </c>
      <c r="C505" t="s">
        <v>1115</v>
      </c>
      <c r="D505" t="s">
        <v>1118</v>
      </c>
      <c r="E505">
        <v>62.68</v>
      </c>
      <c r="F505">
        <v>748130</v>
      </c>
      <c r="G505" t="s">
        <v>1130</v>
      </c>
      <c r="H505" t="s">
        <v>1133</v>
      </c>
    </row>
    <row r="506" spans="1:8" x14ac:dyDescent="0.25">
      <c r="A506" t="s">
        <v>98</v>
      </c>
      <c r="B506" t="s">
        <v>612</v>
      </c>
      <c r="C506" t="s">
        <v>1112</v>
      </c>
      <c r="D506" t="s">
        <v>1126</v>
      </c>
      <c r="E506">
        <v>61.6</v>
      </c>
      <c r="F506">
        <v>216369</v>
      </c>
      <c r="G506" t="s">
        <v>1131</v>
      </c>
      <c r="H506" t="s">
        <v>1133</v>
      </c>
    </row>
    <row r="507" spans="1:8" x14ac:dyDescent="0.25">
      <c r="A507" t="s">
        <v>70</v>
      </c>
      <c r="B507" t="s">
        <v>613</v>
      </c>
      <c r="C507" t="s">
        <v>1108</v>
      </c>
      <c r="D507" t="s">
        <v>1122</v>
      </c>
      <c r="E507">
        <v>74.260000000000005</v>
      </c>
      <c r="F507">
        <v>267890</v>
      </c>
      <c r="G507" t="s">
        <v>1132</v>
      </c>
      <c r="H507" t="s">
        <v>1133</v>
      </c>
    </row>
    <row r="508" spans="1:8" x14ac:dyDescent="0.25">
      <c r="A508" t="s">
        <v>49</v>
      </c>
      <c r="B508" t="s">
        <v>614</v>
      </c>
      <c r="C508" t="s">
        <v>1114</v>
      </c>
      <c r="D508" t="s">
        <v>1124</v>
      </c>
      <c r="E508">
        <v>72.75</v>
      </c>
      <c r="F508">
        <v>197922</v>
      </c>
      <c r="G508" t="s">
        <v>1129</v>
      </c>
      <c r="H508" t="s">
        <v>1134</v>
      </c>
    </row>
    <row r="509" spans="1:8" x14ac:dyDescent="0.25">
      <c r="A509" t="s">
        <v>94</v>
      </c>
      <c r="B509" t="s">
        <v>615</v>
      </c>
      <c r="C509" t="s">
        <v>1116</v>
      </c>
      <c r="D509" t="s">
        <v>1121</v>
      </c>
      <c r="E509">
        <v>86.74</v>
      </c>
      <c r="F509">
        <v>996077</v>
      </c>
      <c r="G509" t="s">
        <v>1131</v>
      </c>
      <c r="H509" t="s">
        <v>1133</v>
      </c>
    </row>
    <row r="510" spans="1:8" x14ac:dyDescent="0.25">
      <c r="A510" t="s">
        <v>65</v>
      </c>
      <c r="B510" t="s">
        <v>616</v>
      </c>
      <c r="C510" t="s">
        <v>1108</v>
      </c>
      <c r="D510" t="s">
        <v>1123</v>
      </c>
      <c r="E510">
        <v>51.88</v>
      </c>
      <c r="F510">
        <v>949935</v>
      </c>
      <c r="G510" t="s">
        <v>1131</v>
      </c>
      <c r="H510" t="s">
        <v>1133</v>
      </c>
    </row>
    <row r="511" spans="1:8" x14ac:dyDescent="0.25">
      <c r="A511" t="s">
        <v>12</v>
      </c>
      <c r="B511" t="s">
        <v>617</v>
      </c>
      <c r="C511" t="s">
        <v>1108</v>
      </c>
      <c r="D511" t="s">
        <v>1127</v>
      </c>
      <c r="E511">
        <v>91.2</v>
      </c>
      <c r="F511">
        <v>179091</v>
      </c>
      <c r="G511" t="s">
        <v>1132</v>
      </c>
      <c r="H511" t="s">
        <v>1133</v>
      </c>
    </row>
    <row r="512" spans="1:8" x14ac:dyDescent="0.25">
      <c r="A512" t="s">
        <v>21</v>
      </c>
      <c r="B512" t="s">
        <v>618</v>
      </c>
      <c r="C512" t="s">
        <v>1115</v>
      </c>
      <c r="D512" t="s">
        <v>1125</v>
      </c>
      <c r="E512">
        <v>39.81</v>
      </c>
      <c r="F512">
        <v>291927</v>
      </c>
      <c r="G512" t="s">
        <v>1129</v>
      </c>
      <c r="H512" t="s">
        <v>1134</v>
      </c>
    </row>
    <row r="513" spans="1:8" x14ac:dyDescent="0.25">
      <c r="A513" t="s">
        <v>33</v>
      </c>
      <c r="B513" t="s">
        <v>619</v>
      </c>
      <c r="C513" t="s">
        <v>1112</v>
      </c>
      <c r="D513" t="s">
        <v>1124</v>
      </c>
      <c r="E513">
        <v>43.31</v>
      </c>
      <c r="F513">
        <v>702926</v>
      </c>
      <c r="G513" t="s">
        <v>1130</v>
      </c>
      <c r="H513" t="s">
        <v>1133</v>
      </c>
    </row>
    <row r="514" spans="1:8" x14ac:dyDescent="0.25">
      <c r="A514" t="s">
        <v>16</v>
      </c>
      <c r="B514" t="s">
        <v>620</v>
      </c>
      <c r="C514" t="s">
        <v>1111</v>
      </c>
      <c r="D514" t="s">
        <v>1119</v>
      </c>
      <c r="E514">
        <v>64.19</v>
      </c>
      <c r="F514">
        <v>933556</v>
      </c>
      <c r="G514" t="s">
        <v>1130</v>
      </c>
      <c r="H514" t="s">
        <v>1133</v>
      </c>
    </row>
    <row r="515" spans="1:8" x14ac:dyDescent="0.25">
      <c r="A515" t="s">
        <v>22</v>
      </c>
      <c r="B515" t="s">
        <v>621</v>
      </c>
      <c r="C515" t="s">
        <v>1111</v>
      </c>
      <c r="D515" t="s">
        <v>1121</v>
      </c>
      <c r="E515">
        <v>90.53</v>
      </c>
      <c r="F515">
        <v>645462</v>
      </c>
      <c r="G515" t="s">
        <v>1131</v>
      </c>
      <c r="H515" t="s">
        <v>1133</v>
      </c>
    </row>
    <row r="516" spans="1:8" x14ac:dyDescent="0.25">
      <c r="A516" t="s">
        <v>41</v>
      </c>
      <c r="B516" t="s">
        <v>622</v>
      </c>
      <c r="C516" t="s">
        <v>1108</v>
      </c>
      <c r="D516" t="s">
        <v>1121</v>
      </c>
      <c r="E516">
        <v>73.69</v>
      </c>
      <c r="F516">
        <v>241074</v>
      </c>
      <c r="G516" t="s">
        <v>1130</v>
      </c>
      <c r="H516" t="s">
        <v>1133</v>
      </c>
    </row>
    <row r="517" spans="1:8" x14ac:dyDescent="0.25">
      <c r="A517" t="s">
        <v>25</v>
      </c>
      <c r="B517" t="s">
        <v>623</v>
      </c>
      <c r="C517" t="s">
        <v>1109</v>
      </c>
      <c r="D517" t="s">
        <v>1124</v>
      </c>
      <c r="E517">
        <v>45.82</v>
      </c>
      <c r="F517">
        <v>423536</v>
      </c>
      <c r="G517" t="s">
        <v>1132</v>
      </c>
      <c r="H517" t="s">
        <v>1133</v>
      </c>
    </row>
    <row r="518" spans="1:8" x14ac:dyDescent="0.25">
      <c r="A518" t="s">
        <v>62</v>
      </c>
      <c r="B518" t="s">
        <v>624</v>
      </c>
      <c r="C518" t="s">
        <v>1115</v>
      </c>
      <c r="D518" t="s">
        <v>1127</v>
      </c>
      <c r="E518">
        <v>99.87</v>
      </c>
      <c r="F518">
        <v>251723</v>
      </c>
      <c r="G518" t="s">
        <v>1129</v>
      </c>
      <c r="H518" t="s">
        <v>1133</v>
      </c>
    </row>
    <row r="519" spans="1:8" x14ac:dyDescent="0.25">
      <c r="A519" t="s">
        <v>82</v>
      </c>
      <c r="B519" t="s">
        <v>625</v>
      </c>
      <c r="C519" t="s">
        <v>1109</v>
      </c>
      <c r="D519" t="s">
        <v>1123</v>
      </c>
      <c r="E519">
        <v>62.17</v>
      </c>
      <c r="F519">
        <v>526331</v>
      </c>
      <c r="G519" t="s">
        <v>1129</v>
      </c>
      <c r="H519" t="s">
        <v>1133</v>
      </c>
    </row>
    <row r="520" spans="1:8" x14ac:dyDescent="0.25">
      <c r="A520" t="s">
        <v>72</v>
      </c>
      <c r="B520" t="s">
        <v>626</v>
      </c>
      <c r="C520" t="s">
        <v>1110</v>
      </c>
      <c r="D520" t="s">
        <v>1121</v>
      </c>
      <c r="E520">
        <v>93.77</v>
      </c>
      <c r="F520">
        <v>664561</v>
      </c>
      <c r="G520" t="s">
        <v>1129</v>
      </c>
      <c r="H520" t="s">
        <v>1134</v>
      </c>
    </row>
    <row r="521" spans="1:8" x14ac:dyDescent="0.25">
      <c r="A521" t="s">
        <v>57</v>
      </c>
      <c r="B521" t="s">
        <v>627</v>
      </c>
      <c r="C521" t="s">
        <v>1108</v>
      </c>
      <c r="D521" t="s">
        <v>1125</v>
      </c>
      <c r="E521">
        <v>92.23</v>
      </c>
      <c r="F521">
        <v>394903</v>
      </c>
      <c r="G521" t="s">
        <v>1130</v>
      </c>
      <c r="H521" t="s">
        <v>1134</v>
      </c>
    </row>
    <row r="522" spans="1:8" x14ac:dyDescent="0.25">
      <c r="A522" t="s">
        <v>68</v>
      </c>
      <c r="B522" t="s">
        <v>628</v>
      </c>
      <c r="C522" t="s">
        <v>1112</v>
      </c>
      <c r="D522" t="s">
        <v>1123</v>
      </c>
      <c r="E522">
        <v>83.7</v>
      </c>
      <c r="F522">
        <v>806822</v>
      </c>
      <c r="G522" t="s">
        <v>1128</v>
      </c>
      <c r="H522" t="s">
        <v>1134</v>
      </c>
    </row>
    <row r="523" spans="1:8" x14ac:dyDescent="0.25">
      <c r="A523" t="s">
        <v>33</v>
      </c>
      <c r="B523" t="s">
        <v>629</v>
      </c>
      <c r="C523" t="s">
        <v>1109</v>
      </c>
      <c r="D523" t="s">
        <v>1120</v>
      </c>
      <c r="E523">
        <v>84.8</v>
      </c>
      <c r="F523">
        <v>316969</v>
      </c>
      <c r="G523" t="s">
        <v>1129</v>
      </c>
      <c r="H523" t="s">
        <v>1133</v>
      </c>
    </row>
    <row r="524" spans="1:8" x14ac:dyDescent="0.25">
      <c r="A524" t="s">
        <v>92</v>
      </c>
      <c r="B524" t="s">
        <v>630</v>
      </c>
      <c r="C524" t="s">
        <v>1112</v>
      </c>
      <c r="D524" t="s">
        <v>1122</v>
      </c>
      <c r="E524">
        <v>65.89</v>
      </c>
      <c r="F524">
        <v>610848</v>
      </c>
      <c r="G524" t="s">
        <v>1128</v>
      </c>
      <c r="H524" t="s">
        <v>1134</v>
      </c>
    </row>
    <row r="525" spans="1:8" x14ac:dyDescent="0.25">
      <c r="A525" t="s">
        <v>12</v>
      </c>
      <c r="B525" t="s">
        <v>631</v>
      </c>
      <c r="C525" t="s">
        <v>1110</v>
      </c>
      <c r="D525" t="s">
        <v>1127</v>
      </c>
      <c r="E525">
        <v>95.88</v>
      </c>
      <c r="F525">
        <v>575026</v>
      </c>
      <c r="G525" t="s">
        <v>1129</v>
      </c>
      <c r="H525" t="s">
        <v>1134</v>
      </c>
    </row>
    <row r="526" spans="1:8" x14ac:dyDescent="0.25">
      <c r="A526" t="s">
        <v>30</v>
      </c>
      <c r="B526" t="s">
        <v>632</v>
      </c>
      <c r="C526" t="s">
        <v>1115</v>
      </c>
      <c r="D526" t="s">
        <v>1122</v>
      </c>
      <c r="E526">
        <v>99.13</v>
      </c>
      <c r="F526">
        <v>346518</v>
      </c>
      <c r="G526" t="s">
        <v>1130</v>
      </c>
      <c r="H526" t="s">
        <v>1133</v>
      </c>
    </row>
    <row r="527" spans="1:8" x14ac:dyDescent="0.25">
      <c r="A527" t="s">
        <v>104</v>
      </c>
      <c r="B527" t="s">
        <v>633</v>
      </c>
      <c r="C527" t="s">
        <v>1108</v>
      </c>
      <c r="D527" t="s">
        <v>1123</v>
      </c>
      <c r="E527">
        <v>87.89</v>
      </c>
      <c r="F527">
        <v>744996</v>
      </c>
      <c r="G527" t="s">
        <v>1132</v>
      </c>
      <c r="H527" t="s">
        <v>1133</v>
      </c>
    </row>
    <row r="528" spans="1:8" x14ac:dyDescent="0.25">
      <c r="A528" t="s">
        <v>70</v>
      </c>
      <c r="B528" t="s">
        <v>634</v>
      </c>
      <c r="C528" t="s">
        <v>1114</v>
      </c>
      <c r="D528" t="s">
        <v>1125</v>
      </c>
      <c r="E528">
        <v>56.39</v>
      </c>
      <c r="F528">
        <v>143646</v>
      </c>
      <c r="G528" t="s">
        <v>1131</v>
      </c>
      <c r="H528" t="s">
        <v>1134</v>
      </c>
    </row>
    <row r="529" spans="1:8" x14ac:dyDescent="0.25">
      <c r="A529" t="s">
        <v>78</v>
      </c>
      <c r="B529" t="s">
        <v>635</v>
      </c>
      <c r="C529" t="s">
        <v>1114</v>
      </c>
      <c r="D529" t="s">
        <v>1127</v>
      </c>
      <c r="E529">
        <v>82.42</v>
      </c>
      <c r="F529">
        <v>645639</v>
      </c>
      <c r="G529" t="s">
        <v>1131</v>
      </c>
      <c r="H529" t="s">
        <v>1133</v>
      </c>
    </row>
    <row r="530" spans="1:8" x14ac:dyDescent="0.25">
      <c r="A530" t="s">
        <v>49</v>
      </c>
      <c r="B530" t="s">
        <v>636</v>
      </c>
      <c r="C530" t="s">
        <v>1108</v>
      </c>
      <c r="D530" t="s">
        <v>1118</v>
      </c>
      <c r="E530">
        <v>56.53</v>
      </c>
      <c r="F530">
        <v>194012</v>
      </c>
      <c r="G530" t="s">
        <v>1128</v>
      </c>
      <c r="H530" t="s">
        <v>1133</v>
      </c>
    </row>
    <row r="531" spans="1:8" x14ac:dyDescent="0.25">
      <c r="A531" t="s">
        <v>49</v>
      </c>
      <c r="B531" t="s">
        <v>637</v>
      </c>
      <c r="C531" t="s">
        <v>1113</v>
      </c>
      <c r="D531" t="s">
        <v>1125</v>
      </c>
      <c r="E531">
        <v>76.36</v>
      </c>
      <c r="F531">
        <v>199190</v>
      </c>
      <c r="G531" t="s">
        <v>1132</v>
      </c>
      <c r="H531" t="s">
        <v>1133</v>
      </c>
    </row>
    <row r="532" spans="1:8" x14ac:dyDescent="0.25">
      <c r="A532" t="s">
        <v>57</v>
      </c>
      <c r="B532" t="s">
        <v>638</v>
      </c>
      <c r="C532" t="s">
        <v>1110</v>
      </c>
      <c r="D532" t="s">
        <v>1120</v>
      </c>
      <c r="E532">
        <v>35.42</v>
      </c>
      <c r="F532">
        <v>555410</v>
      </c>
      <c r="G532" t="s">
        <v>1129</v>
      </c>
      <c r="H532" t="s">
        <v>1134</v>
      </c>
    </row>
    <row r="533" spans="1:8" x14ac:dyDescent="0.25">
      <c r="A533" t="s">
        <v>20</v>
      </c>
      <c r="B533" t="s">
        <v>639</v>
      </c>
      <c r="C533" t="s">
        <v>1112</v>
      </c>
      <c r="D533" t="s">
        <v>1127</v>
      </c>
      <c r="E533">
        <v>69.16</v>
      </c>
      <c r="F533">
        <v>312497</v>
      </c>
      <c r="G533" t="s">
        <v>1129</v>
      </c>
      <c r="H533" t="s">
        <v>1133</v>
      </c>
    </row>
    <row r="534" spans="1:8" x14ac:dyDescent="0.25">
      <c r="A534" t="s">
        <v>56</v>
      </c>
      <c r="B534" t="s">
        <v>640</v>
      </c>
      <c r="C534" t="s">
        <v>1117</v>
      </c>
      <c r="D534" t="s">
        <v>1121</v>
      </c>
      <c r="E534">
        <v>44.95</v>
      </c>
      <c r="F534">
        <v>240153</v>
      </c>
      <c r="G534" t="s">
        <v>1128</v>
      </c>
      <c r="H534" t="s">
        <v>1134</v>
      </c>
    </row>
    <row r="535" spans="1:8" x14ac:dyDescent="0.25">
      <c r="A535" t="s">
        <v>29</v>
      </c>
      <c r="B535" t="s">
        <v>641</v>
      </c>
      <c r="C535" t="s">
        <v>1115</v>
      </c>
      <c r="D535" t="s">
        <v>1127</v>
      </c>
      <c r="E535">
        <v>73.489999999999995</v>
      </c>
      <c r="F535">
        <v>644244</v>
      </c>
      <c r="G535" t="s">
        <v>1130</v>
      </c>
      <c r="H535" t="s">
        <v>1133</v>
      </c>
    </row>
    <row r="536" spans="1:8" x14ac:dyDescent="0.25">
      <c r="A536" t="s">
        <v>45</v>
      </c>
      <c r="B536" t="s">
        <v>642</v>
      </c>
      <c r="C536" t="s">
        <v>1110</v>
      </c>
      <c r="D536" t="s">
        <v>1124</v>
      </c>
      <c r="E536">
        <v>46.85</v>
      </c>
      <c r="F536">
        <v>796996</v>
      </c>
      <c r="G536" t="s">
        <v>1128</v>
      </c>
      <c r="H536" t="s">
        <v>1134</v>
      </c>
    </row>
    <row r="537" spans="1:8" x14ac:dyDescent="0.25">
      <c r="A537" t="s">
        <v>58</v>
      </c>
      <c r="B537" t="s">
        <v>643</v>
      </c>
      <c r="C537" t="s">
        <v>1111</v>
      </c>
      <c r="D537" t="s">
        <v>1125</v>
      </c>
      <c r="E537">
        <v>42.12</v>
      </c>
      <c r="F537">
        <v>867676</v>
      </c>
      <c r="G537" t="s">
        <v>1132</v>
      </c>
      <c r="H537" t="s">
        <v>1134</v>
      </c>
    </row>
    <row r="538" spans="1:8" x14ac:dyDescent="0.25">
      <c r="A538" t="s">
        <v>103</v>
      </c>
      <c r="B538" t="s">
        <v>644</v>
      </c>
      <c r="C538" t="s">
        <v>1108</v>
      </c>
      <c r="D538" t="s">
        <v>1124</v>
      </c>
      <c r="E538">
        <v>40.97</v>
      </c>
      <c r="F538">
        <v>931099</v>
      </c>
      <c r="G538" t="s">
        <v>1132</v>
      </c>
      <c r="H538" t="s">
        <v>1133</v>
      </c>
    </row>
    <row r="539" spans="1:8" x14ac:dyDescent="0.25">
      <c r="A539" t="s">
        <v>10</v>
      </c>
      <c r="B539" t="s">
        <v>645</v>
      </c>
      <c r="C539" t="s">
        <v>1116</v>
      </c>
      <c r="D539" t="s">
        <v>1120</v>
      </c>
      <c r="E539">
        <v>80.489999999999995</v>
      </c>
      <c r="F539">
        <v>691871</v>
      </c>
      <c r="G539" t="s">
        <v>1132</v>
      </c>
      <c r="H539" t="s">
        <v>1133</v>
      </c>
    </row>
    <row r="540" spans="1:8" x14ac:dyDescent="0.25">
      <c r="A540" t="s">
        <v>10</v>
      </c>
      <c r="B540" t="s">
        <v>646</v>
      </c>
      <c r="C540" t="s">
        <v>1117</v>
      </c>
      <c r="D540" t="s">
        <v>1124</v>
      </c>
      <c r="E540">
        <v>51.61</v>
      </c>
      <c r="F540">
        <v>979285</v>
      </c>
      <c r="G540" t="s">
        <v>1128</v>
      </c>
      <c r="H540" t="s">
        <v>1133</v>
      </c>
    </row>
    <row r="541" spans="1:8" x14ac:dyDescent="0.25">
      <c r="A541" t="s">
        <v>40</v>
      </c>
      <c r="B541" t="s">
        <v>647</v>
      </c>
      <c r="C541" t="s">
        <v>1109</v>
      </c>
      <c r="D541" t="s">
        <v>1123</v>
      </c>
      <c r="E541">
        <v>88.3</v>
      </c>
      <c r="F541">
        <v>679736</v>
      </c>
      <c r="G541" t="s">
        <v>1132</v>
      </c>
      <c r="H541" t="s">
        <v>1133</v>
      </c>
    </row>
    <row r="542" spans="1:8" x14ac:dyDescent="0.25">
      <c r="A542" t="s">
        <v>52</v>
      </c>
      <c r="B542" t="s">
        <v>648</v>
      </c>
      <c r="C542" t="s">
        <v>1113</v>
      </c>
      <c r="D542" t="s">
        <v>1123</v>
      </c>
      <c r="E542">
        <v>91.67</v>
      </c>
      <c r="F542">
        <v>621573</v>
      </c>
      <c r="G542" t="s">
        <v>1129</v>
      </c>
      <c r="H542" t="s">
        <v>1133</v>
      </c>
    </row>
    <row r="543" spans="1:8" x14ac:dyDescent="0.25">
      <c r="A543" t="s">
        <v>53</v>
      </c>
      <c r="B543" t="s">
        <v>649</v>
      </c>
      <c r="C543" t="s">
        <v>1113</v>
      </c>
      <c r="D543" t="s">
        <v>1123</v>
      </c>
      <c r="E543">
        <v>74.87</v>
      </c>
      <c r="F543">
        <v>969783</v>
      </c>
      <c r="G543" t="s">
        <v>1131</v>
      </c>
      <c r="H543" t="s">
        <v>1133</v>
      </c>
    </row>
    <row r="544" spans="1:8" x14ac:dyDescent="0.25">
      <c r="A544" t="s">
        <v>27</v>
      </c>
      <c r="B544" t="s">
        <v>650</v>
      </c>
      <c r="C544" t="s">
        <v>1108</v>
      </c>
      <c r="D544" t="s">
        <v>1125</v>
      </c>
      <c r="E544">
        <v>89.93</v>
      </c>
      <c r="F544">
        <v>977250</v>
      </c>
      <c r="G544" t="s">
        <v>1130</v>
      </c>
      <c r="H544" t="s">
        <v>1133</v>
      </c>
    </row>
    <row r="545" spans="1:8" x14ac:dyDescent="0.25">
      <c r="A545" t="s">
        <v>53</v>
      </c>
      <c r="B545" t="s">
        <v>651</v>
      </c>
      <c r="C545" t="s">
        <v>1110</v>
      </c>
      <c r="D545" t="s">
        <v>1124</v>
      </c>
      <c r="E545">
        <v>58.23</v>
      </c>
      <c r="F545">
        <v>844243</v>
      </c>
      <c r="G545" t="s">
        <v>1130</v>
      </c>
      <c r="H545" t="s">
        <v>1133</v>
      </c>
    </row>
    <row r="546" spans="1:8" x14ac:dyDescent="0.25">
      <c r="A546" t="s">
        <v>13</v>
      </c>
      <c r="B546" t="s">
        <v>652</v>
      </c>
      <c r="C546" t="s">
        <v>1113</v>
      </c>
      <c r="D546" t="s">
        <v>1120</v>
      </c>
      <c r="E546">
        <v>56.97</v>
      </c>
      <c r="F546">
        <v>389797</v>
      </c>
      <c r="G546" t="s">
        <v>1131</v>
      </c>
      <c r="H546" t="s">
        <v>1134</v>
      </c>
    </row>
    <row r="547" spans="1:8" x14ac:dyDescent="0.25">
      <c r="A547" t="s">
        <v>103</v>
      </c>
      <c r="B547" t="s">
        <v>653</v>
      </c>
      <c r="C547" t="s">
        <v>1117</v>
      </c>
      <c r="D547" t="s">
        <v>1125</v>
      </c>
      <c r="E547">
        <v>58.22</v>
      </c>
      <c r="F547">
        <v>961922</v>
      </c>
      <c r="G547" t="s">
        <v>1132</v>
      </c>
      <c r="H547" t="s">
        <v>1134</v>
      </c>
    </row>
    <row r="548" spans="1:8" x14ac:dyDescent="0.25">
      <c r="A548" t="s">
        <v>18</v>
      </c>
      <c r="B548" t="s">
        <v>654</v>
      </c>
      <c r="C548" t="s">
        <v>1112</v>
      </c>
      <c r="D548" t="s">
        <v>1120</v>
      </c>
      <c r="E548">
        <v>51.82</v>
      </c>
      <c r="F548">
        <v>862543</v>
      </c>
      <c r="G548" t="s">
        <v>1129</v>
      </c>
      <c r="H548" t="s">
        <v>1134</v>
      </c>
    </row>
    <row r="549" spans="1:8" x14ac:dyDescent="0.25">
      <c r="A549" t="s">
        <v>18</v>
      </c>
      <c r="B549" t="s">
        <v>655</v>
      </c>
      <c r="C549" t="s">
        <v>1115</v>
      </c>
      <c r="D549" t="s">
        <v>1118</v>
      </c>
      <c r="E549">
        <v>86.53</v>
      </c>
      <c r="F549">
        <v>304492</v>
      </c>
      <c r="G549" t="s">
        <v>1128</v>
      </c>
      <c r="H549" t="s">
        <v>1133</v>
      </c>
    </row>
    <row r="550" spans="1:8" x14ac:dyDescent="0.25">
      <c r="A550" t="s">
        <v>101</v>
      </c>
      <c r="B550" t="s">
        <v>656</v>
      </c>
      <c r="C550" t="s">
        <v>1114</v>
      </c>
      <c r="D550" t="s">
        <v>1121</v>
      </c>
      <c r="E550">
        <v>99.64</v>
      </c>
      <c r="F550">
        <v>444131</v>
      </c>
      <c r="G550" t="s">
        <v>1130</v>
      </c>
      <c r="H550" t="s">
        <v>1134</v>
      </c>
    </row>
    <row r="551" spans="1:8" x14ac:dyDescent="0.25">
      <c r="A551" t="s">
        <v>9</v>
      </c>
      <c r="B551" t="s">
        <v>657</v>
      </c>
      <c r="C551" t="s">
        <v>1110</v>
      </c>
      <c r="D551" t="s">
        <v>1124</v>
      </c>
      <c r="E551">
        <v>84.73</v>
      </c>
      <c r="F551">
        <v>723650</v>
      </c>
      <c r="G551" t="s">
        <v>1129</v>
      </c>
      <c r="H551" t="s">
        <v>1134</v>
      </c>
    </row>
    <row r="552" spans="1:8" x14ac:dyDescent="0.25">
      <c r="A552" t="s">
        <v>17</v>
      </c>
      <c r="B552" t="s">
        <v>658</v>
      </c>
      <c r="C552" t="s">
        <v>1113</v>
      </c>
      <c r="D552" t="s">
        <v>1124</v>
      </c>
      <c r="E552">
        <v>37.979999999999997</v>
      </c>
      <c r="F552">
        <v>991833</v>
      </c>
      <c r="G552" t="s">
        <v>1129</v>
      </c>
      <c r="H552" t="s">
        <v>1133</v>
      </c>
    </row>
    <row r="553" spans="1:8" x14ac:dyDescent="0.25">
      <c r="A553" t="s">
        <v>60</v>
      </c>
      <c r="B553" t="s">
        <v>659</v>
      </c>
      <c r="C553" t="s">
        <v>1113</v>
      </c>
      <c r="D553" t="s">
        <v>1118</v>
      </c>
      <c r="E553">
        <v>54.12</v>
      </c>
      <c r="F553">
        <v>179343</v>
      </c>
      <c r="G553" t="s">
        <v>1128</v>
      </c>
      <c r="H553" t="s">
        <v>1134</v>
      </c>
    </row>
    <row r="554" spans="1:8" x14ac:dyDescent="0.25">
      <c r="A554" t="s">
        <v>100</v>
      </c>
      <c r="B554" t="s">
        <v>660</v>
      </c>
      <c r="C554" t="s">
        <v>1116</v>
      </c>
      <c r="D554" t="s">
        <v>1124</v>
      </c>
      <c r="E554">
        <v>58.52</v>
      </c>
      <c r="F554">
        <v>865393</v>
      </c>
      <c r="G554" t="s">
        <v>1132</v>
      </c>
      <c r="H554" t="s">
        <v>1134</v>
      </c>
    </row>
    <row r="555" spans="1:8" x14ac:dyDescent="0.25">
      <c r="A555" t="s">
        <v>100</v>
      </c>
      <c r="B555" t="s">
        <v>661</v>
      </c>
      <c r="C555" t="s">
        <v>1109</v>
      </c>
      <c r="D555" t="s">
        <v>1122</v>
      </c>
      <c r="E555">
        <v>88.4</v>
      </c>
      <c r="F555">
        <v>288604</v>
      </c>
      <c r="G555" t="s">
        <v>1130</v>
      </c>
      <c r="H555" t="s">
        <v>1133</v>
      </c>
    </row>
    <row r="556" spans="1:8" x14ac:dyDescent="0.25">
      <c r="A556" t="s">
        <v>71</v>
      </c>
      <c r="B556" t="s">
        <v>662</v>
      </c>
      <c r="C556" t="s">
        <v>1110</v>
      </c>
      <c r="D556" t="s">
        <v>1125</v>
      </c>
      <c r="E556">
        <v>83.87</v>
      </c>
      <c r="F556">
        <v>938455</v>
      </c>
      <c r="G556" t="s">
        <v>1128</v>
      </c>
      <c r="H556" t="s">
        <v>1133</v>
      </c>
    </row>
    <row r="557" spans="1:8" x14ac:dyDescent="0.25">
      <c r="A557" t="s">
        <v>44</v>
      </c>
      <c r="B557" t="s">
        <v>663</v>
      </c>
      <c r="C557" t="s">
        <v>1114</v>
      </c>
      <c r="D557" t="s">
        <v>1127</v>
      </c>
      <c r="E557">
        <v>37.799999999999997</v>
      </c>
      <c r="F557">
        <v>595089</v>
      </c>
      <c r="G557" t="s">
        <v>1128</v>
      </c>
      <c r="H557" t="s">
        <v>1133</v>
      </c>
    </row>
    <row r="558" spans="1:8" x14ac:dyDescent="0.25">
      <c r="A558" t="s">
        <v>9</v>
      </c>
      <c r="B558" t="s">
        <v>664</v>
      </c>
      <c r="C558" t="s">
        <v>1115</v>
      </c>
      <c r="D558" t="s">
        <v>1123</v>
      </c>
      <c r="E558">
        <v>47.84</v>
      </c>
      <c r="F558">
        <v>634882</v>
      </c>
      <c r="G558" t="s">
        <v>1131</v>
      </c>
      <c r="H558" t="s">
        <v>1133</v>
      </c>
    </row>
    <row r="559" spans="1:8" x14ac:dyDescent="0.25">
      <c r="A559" t="s">
        <v>92</v>
      </c>
      <c r="B559" t="s">
        <v>665</v>
      </c>
      <c r="C559" t="s">
        <v>1108</v>
      </c>
      <c r="D559" t="s">
        <v>1118</v>
      </c>
      <c r="E559">
        <v>67.05</v>
      </c>
      <c r="F559">
        <v>122778</v>
      </c>
      <c r="G559" t="s">
        <v>1131</v>
      </c>
      <c r="H559" t="s">
        <v>1133</v>
      </c>
    </row>
    <row r="560" spans="1:8" x14ac:dyDescent="0.25">
      <c r="A560" t="s">
        <v>32</v>
      </c>
      <c r="B560" t="s">
        <v>666</v>
      </c>
      <c r="C560" t="s">
        <v>1109</v>
      </c>
      <c r="D560" t="s">
        <v>1123</v>
      </c>
      <c r="E560">
        <v>40.89</v>
      </c>
      <c r="F560">
        <v>217708</v>
      </c>
      <c r="G560" t="s">
        <v>1129</v>
      </c>
      <c r="H560" t="s">
        <v>1133</v>
      </c>
    </row>
    <row r="561" spans="1:8" x14ac:dyDescent="0.25">
      <c r="A561" t="s">
        <v>60</v>
      </c>
      <c r="B561" t="s">
        <v>667</v>
      </c>
      <c r="C561" t="s">
        <v>1109</v>
      </c>
      <c r="D561" t="s">
        <v>1124</v>
      </c>
      <c r="E561">
        <v>43.74</v>
      </c>
      <c r="F561">
        <v>773205</v>
      </c>
      <c r="G561" t="s">
        <v>1130</v>
      </c>
      <c r="H561" t="s">
        <v>1133</v>
      </c>
    </row>
    <row r="562" spans="1:8" x14ac:dyDescent="0.25">
      <c r="A562" t="s">
        <v>91</v>
      </c>
      <c r="B562" t="s">
        <v>668</v>
      </c>
      <c r="C562" t="s">
        <v>1111</v>
      </c>
      <c r="D562" t="s">
        <v>1124</v>
      </c>
      <c r="E562">
        <v>42.64</v>
      </c>
      <c r="F562">
        <v>999190</v>
      </c>
      <c r="G562" t="s">
        <v>1128</v>
      </c>
      <c r="H562" t="s">
        <v>1133</v>
      </c>
    </row>
    <row r="563" spans="1:8" x14ac:dyDescent="0.25">
      <c r="A563" t="s">
        <v>56</v>
      </c>
      <c r="B563" t="s">
        <v>669</v>
      </c>
      <c r="C563" t="s">
        <v>1110</v>
      </c>
      <c r="D563" t="s">
        <v>1127</v>
      </c>
      <c r="E563">
        <v>41.64</v>
      </c>
      <c r="F563">
        <v>826807</v>
      </c>
      <c r="G563" t="s">
        <v>1128</v>
      </c>
      <c r="H563" t="s">
        <v>1133</v>
      </c>
    </row>
    <row r="564" spans="1:8" x14ac:dyDescent="0.25">
      <c r="A564" t="s">
        <v>25</v>
      </c>
      <c r="B564" t="s">
        <v>670</v>
      </c>
      <c r="C564" t="s">
        <v>1116</v>
      </c>
      <c r="D564" t="s">
        <v>1126</v>
      </c>
      <c r="E564">
        <v>62.9</v>
      </c>
      <c r="F564">
        <v>806815</v>
      </c>
      <c r="G564" t="s">
        <v>1129</v>
      </c>
      <c r="H564" t="s">
        <v>1134</v>
      </c>
    </row>
    <row r="565" spans="1:8" x14ac:dyDescent="0.25">
      <c r="A565" t="s">
        <v>28</v>
      </c>
      <c r="B565" t="s">
        <v>671</v>
      </c>
      <c r="C565" t="s">
        <v>1109</v>
      </c>
      <c r="D565" t="s">
        <v>1121</v>
      </c>
      <c r="E565">
        <v>83.26</v>
      </c>
      <c r="F565">
        <v>602963</v>
      </c>
      <c r="G565" t="s">
        <v>1130</v>
      </c>
      <c r="H565" t="s">
        <v>1133</v>
      </c>
    </row>
    <row r="566" spans="1:8" x14ac:dyDescent="0.25">
      <c r="A566" t="s">
        <v>56</v>
      </c>
      <c r="B566" t="s">
        <v>672</v>
      </c>
      <c r="C566" t="s">
        <v>1112</v>
      </c>
      <c r="D566" t="s">
        <v>1127</v>
      </c>
      <c r="E566">
        <v>60.43</v>
      </c>
      <c r="F566">
        <v>718025</v>
      </c>
      <c r="G566" t="s">
        <v>1128</v>
      </c>
      <c r="H566" t="s">
        <v>1133</v>
      </c>
    </row>
    <row r="567" spans="1:8" x14ac:dyDescent="0.25">
      <c r="A567" t="s">
        <v>101</v>
      </c>
      <c r="B567" t="s">
        <v>673</v>
      </c>
      <c r="C567" t="s">
        <v>1114</v>
      </c>
      <c r="D567" t="s">
        <v>1121</v>
      </c>
      <c r="E567">
        <v>41.86</v>
      </c>
      <c r="F567">
        <v>488577</v>
      </c>
      <c r="G567" t="s">
        <v>1132</v>
      </c>
      <c r="H567" t="s">
        <v>1134</v>
      </c>
    </row>
    <row r="568" spans="1:8" x14ac:dyDescent="0.25">
      <c r="A568" t="s">
        <v>54</v>
      </c>
      <c r="B568" t="s">
        <v>674</v>
      </c>
      <c r="C568" t="s">
        <v>1113</v>
      </c>
      <c r="D568" t="s">
        <v>1124</v>
      </c>
      <c r="E568">
        <v>68.319999999999993</v>
      </c>
      <c r="F568">
        <v>532915</v>
      </c>
      <c r="G568" t="s">
        <v>1131</v>
      </c>
      <c r="H568" t="s">
        <v>1133</v>
      </c>
    </row>
    <row r="569" spans="1:8" x14ac:dyDescent="0.25">
      <c r="A569" t="s">
        <v>34</v>
      </c>
      <c r="B569" t="s">
        <v>675</v>
      </c>
      <c r="C569" t="s">
        <v>1113</v>
      </c>
      <c r="D569" t="s">
        <v>1122</v>
      </c>
      <c r="E569">
        <v>87.33</v>
      </c>
      <c r="F569">
        <v>877404</v>
      </c>
      <c r="G569" t="s">
        <v>1130</v>
      </c>
      <c r="H569" t="s">
        <v>1134</v>
      </c>
    </row>
    <row r="570" spans="1:8" x14ac:dyDescent="0.25">
      <c r="A570" t="s">
        <v>49</v>
      </c>
      <c r="B570" t="s">
        <v>676</v>
      </c>
      <c r="C570" t="s">
        <v>1115</v>
      </c>
      <c r="D570" t="s">
        <v>1123</v>
      </c>
      <c r="E570">
        <v>99.18</v>
      </c>
      <c r="F570">
        <v>625394</v>
      </c>
      <c r="G570" t="s">
        <v>1130</v>
      </c>
      <c r="H570" t="s">
        <v>1133</v>
      </c>
    </row>
    <row r="571" spans="1:8" x14ac:dyDescent="0.25">
      <c r="A571" t="s">
        <v>82</v>
      </c>
      <c r="B571" t="s">
        <v>677</v>
      </c>
      <c r="C571" t="s">
        <v>1109</v>
      </c>
      <c r="D571" t="s">
        <v>1122</v>
      </c>
      <c r="E571">
        <v>98.31</v>
      </c>
      <c r="F571">
        <v>242731</v>
      </c>
      <c r="G571" t="s">
        <v>1131</v>
      </c>
      <c r="H571" t="s">
        <v>1133</v>
      </c>
    </row>
    <row r="572" spans="1:8" x14ac:dyDescent="0.25">
      <c r="A572" t="s">
        <v>83</v>
      </c>
      <c r="B572" t="s">
        <v>678</v>
      </c>
      <c r="C572" t="s">
        <v>1113</v>
      </c>
      <c r="D572" t="s">
        <v>1123</v>
      </c>
      <c r="E572">
        <v>59.92</v>
      </c>
      <c r="F572">
        <v>880029</v>
      </c>
      <c r="G572" t="s">
        <v>1128</v>
      </c>
      <c r="H572" t="s">
        <v>1134</v>
      </c>
    </row>
    <row r="573" spans="1:8" x14ac:dyDescent="0.25">
      <c r="A573" t="s">
        <v>57</v>
      </c>
      <c r="B573" t="s">
        <v>679</v>
      </c>
      <c r="C573" t="s">
        <v>1116</v>
      </c>
      <c r="D573" t="s">
        <v>1121</v>
      </c>
      <c r="E573">
        <v>94.07</v>
      </c>
      <c r="F573">
        <v>761586</v>
      </c>
      <c r="G573" t="s">
        <v>1129</v>
      </c>
      <c r="H573" t="s">
        <v>1133</v>
      </c>
    </row>
    <row r="574" spans="1:8" x14ac:dyDescent="0.25">
      <c r="A574" t="s">
        <v>20</v>
      </c>
      <c r="B574" t="s">
        <v>680</v>
      </c>
      <c r="C574" t="s">
        <v>1117</v>
      </c>
      <c r="D574" t="s">
        <v>1123</v>
      </c>
      <c r="E574">
        <v>48.72</v>
      </c>
      <c r="F574">
        <v>179396</v>
      </c>
      <c r="G574" t="s">
        <v>1132</v>
      </c>
      <c r="H574" t="s">
        <v>1133</v>
      </c>
    </row>
    <row r="575" spans="1:8" x14ac:dyDescent="0.25">
      <c r="A575" t="s">
        <v>49</v>
      </c>
      <c r="B575" t="s">
        <v>681</v>
      </c>
      <c r="C575" t="s">
        <v>1114</v>
      </c>
      <c r="D575" t="s">
        <v>1127</v>
      </c>
      <c r="E575">
        <v>60.36</v>
      </c>
      <c r="F575">
        <v>885508</v>
      </c>
      <c r="G575" t="s">
        <v>1131</v>
      </c>
      <c r="H575" t="s">
        <v>1133</v>
      </c>
    </row>
    <row r="576" spans="1:8" x14ac:dyDescent="0.25">
      <c r="A576" t="s">
        <v>29</v>
      </c>
      <c r="B576" t="s">
        <v>682</v>
      </c>
      <c r="C576" t="s">
        <v>1114</v>
      </c>
      <c r="D576" t="s">
        <v>1126</v>
      </c>
      <c r="E576">
        <v>66.17</v>
      </c>
      <c r="F576">
        <v>595064</v>
      </c>
      <c r="G576" t="s">
        <v>1131</v>
      </c>
      <c r="H576" t="s">
        <v>1133</v>
      </c>
    </row>
    <row r="577" spans="1:8" x14ac:dyDescent="0.25">
      <c r="A577" t="s">
        <v>105</v>
      </c>
      <c r="B577" t="s">
        <v>683</v>
      </c>
      <c r="C577" t="s">
        <v>1109</v>
      </c>
      <c r="D577" t="s">
        <v>1127</v>
      </c>
      <c r="E577">
        <v>99.82</v>
      </c>
      <c r="F577">
        <v>744873</v>
      </c>
      <c r="G577" t="s">
        <v>1128</v>
      </c>
      <c r="H577" t="s">
        <v>1134</v>
      </c>
    </row>
    <row r="578" spans="1:8" x14ac:dyDescent="0.25">
      <c r="A578" t="s">
        <v>49</v>
      </c>
      <c r="B578" t="s">
        <v>684</v>
      </c>
      <c r="C578" t="s">
        <v>1111</v>
      </c>
      <c r="D578" t="s">
        <v>1118</v>
      </c>
      <c r="E578">
        <v>87.49</v>
      </c>
      <c r="F578">
        <v>497698</v>
      </c>
      <c r="G578" t="s">
        <v>1130</v>
      </c>
      <c r="H578" t="s">
        <v>1134</v>
      </c>
    </row>
    <row r="579" spans="1:8" x14ac:dyDescent="0.25">
      <c r="A579" t="s">
        <v>75</v>
      </c>
      <c r="B579" t="s">
        <v>685</v>
      </c>
      <c r="C579" t="s">
        <v>1108</v>
      </c>
      <c r="D579" t="s">
        <v>1124</v>
      </c>
      <c r="E579">
        <v>47.59</v>
      </c>
      <c r="F579">
        <v>830727</v>
      </c>
      <c r="G579" t="s">
        <v>1128</v>
      </c>
      <c r="H579" t="s">
        <v>1133</v>
      </c>
    </row>
    <row r="580" spans="1:8" x14ac:dyDescent="0.25">
      <c r="A580" t="s">
        <v>92</v>
      </c>
      <c r="B580" t="s">
        <v>686</v>
      </c>
      <c r="C580" t="s">
        <v>1117</v>
      </c>
      <c r="D580" t="s">
        <v>1121</v>
      </c>
      <c r="E580">
        <v>38</v>
      </c>
      <c r="F580">
        <v>483763</v>
      </c>
      <c r="G580" t="s">
        <v>1132</v>
      </c>
      <c r="H580" t="s">
        <v>1133</v>
      </c>
    </row>
    <row r="581" spans="1:8" x14ac:dyDescent="0.25">
      <c r="A581" t="s">
        <v>65</v>
      </c>
      <c r="B581" t="s">
        <v>687</v>
      </c>
      <c r="C581" t="s">
        <v>1115</v>
      </c>
      <c r="D581" t="s">
        <v>1125</v>
      </c>
      <c r="E581">
        <v>82.43</v>
      </c>
      <c r="F581">
        <v>601386</v>
      </c>
      <c r="G581" t="s">
        <v>1129</v>
      </c>
      <c r="H581" t="s">
        <v>1134</v>
      </c>
    </row>
    <row r="582" spans="1:8" x14ac:dyDescent="0.25">
      <c r="A582" t="s">
        <v>105</v>
      </c>
      <c r="B582" t="s">
        <v>688</v>
      </c>
      <c r="C582" t="s">
        <v>1114</v>
      </c>
      <c r="D582" t="s">
        <v>1124</v>
      </c>
      <c r="E582">
        <v>91.48</v>
      </c>
      <c r="F582">
        <v>173142</v>
      </c>
      <c r="G582" t="s">
        <v>1132</v>
      </c>
      <c r="H582" t="s">
        <v>1133</v>
      </c>
    </row>
    <row r="583" spans="1:8" x14ac:dyDescent="0.25">
      <c r="A583" t="s">
        <v>84</v>
      </c>
      <c r="B583" t="s">
        <v>689</v>
      </c>
      <c r="C583" t="s">
        <v>1111</v>
      </c>
      <c r="D583" t="s">
        <v>1122</v>
      </c>
      <c r="E583">
        <v>64.97</v>
      </c>
      <c r="F583">
        <v>379408</v>
      </c>
      <c r="G583" t="s">
        <v>1132</v>
      </c>
      <c r="H583" t="s">
        <v>1133</v>
      </c>
    </row>
    <row r="584" spans="1:8" x14ac:dyDescent="0.25">
      <c r="A584" t="s">
        <v>37</v>
      </c>
      <c r="B584" t="s">
        <v>690</v>
      </c>
      <c r="C584" t="s">
        <v>1115</v>
      </c>
      <c r="D584" t="s">
        <v>1125</v>
      </c>
      <c r="E584">
        <v>71.930000000000007</v>
      </c>
      <c r="F584">
        <v>674696</v>
      </c>
      <c r="G584" t="s">
        <v>1131</v>
      </c>
      <c r="H584" t="s">
        <v>1133</v>
      </c>
    </row>
    <row r="585" spans="1:8" x14ac:dyDescent="0.25">
      <c r="A585" t="s">
        <v>98</v>
      </c>
      <c r="B585" t="s">
        <v>691</v>
      </c>
      <c r="C585" t="s">
        <v>1113</v>
      </c>
      <c r="D585" t="s">
        <v>1120</v>
      </c>
      <c r="E585">
        <v>67.84</v>
      </c>
      <c r="F585">
        <v>743985</v>
      </c>
      <c r="G585" t="s">
        <v>1129</v>
      </c>
      <c r="H585" t="s">
        <v>1133</v>
      </c>
    </row>
    <row r="586" spans="1:8" x14ac:dyDescent="0.25">
      <c r="A586" t="s">
        <v>70</v>
      </c>
      <c r="B586" t="s">
        <v>692</v>
      </c>
      <c r="C586" t="s">
        <v>1117</v>
      </c>
      <c r="D586" t="s">
        <v>1127</v>
      </c>
      <c r="E586">
        <v>76.56</v>
      </c>
      <c r="F586">
        <v>171888</v>
      </c>
      <c r="G586" t="s">
        <v>1130</v>
      </c>
      <c r="H586" t="s">
        <v>1133</v>
      </c>
    </row>
    <row r="587" spans="1:8" x14ac:dyDescent="0.25">
      <c r="A587" t="s">
        <v>97</v>
      </c>
      <c r="B587" t="s">
        <v>693</v>
      </c>
      <c r="C587" t="s">
        <v>1108</v>
      </c>
      <c r="D587" t="s">
        <v>1120</v>
      </c>
      <c r="E587">
        <v>35.83</v>
      </c>
      <c r="F587">
        <v>653567</v>
      </c>
      <c r="G587" t="s">
        <v>1130</v>
      </c>
      <c r="H587" t="s">
        <v>1133</v>
      </c>
    </row>
    <row r="588" spans="1:8" x14ac:dyDescent="0.25">
      <c r="A588" t="s">
        <v>78</v>
      </c>
      <c r="B588" t="s">
        <v>694</v>
      </c>
      <c r="C588" t="s">
        <v>1116</v>
      </c>
      <c r="D588" t="s">
        <v>1118</v>
      </c>
      <c r="E588">
        <v>93.3</v>
      </c>
      <c r="F588">
        <v>238490</v>
      </c>
      <c r="G588" t="s">
        <v>1132</v>
      </c>
      <c r="H588" t="s">
        <v>1133</v>
      </c>
    </row>
    <row r="589" spans="1:8" x14ac:dyDescent="0.25">
      <c r="A589" t="s">
        <v>70</v>
      </c>
      <c r="B589" t="s">
        <v>695</v>
      </c>
      <c r="C589" t="s">
        <v>1116</v>
      </c>
      <c r="D589" t="s">
        <v>1127</v>
      </c>
      <c r="E589">
        <v>79.19</v>
      </c>
      <c r="F589">
        <v>553744</v>
      </c>
      <c r="G589" t="s">
        <v>1132</v>
      </c>
      <c r="H589" t="s">
        <v>1134</v>
      </c>
    </row>
    <row r="590" spans="1:8" x14ac:dyDescent="0.25">
      <c r="A590" t="s">
        <v>100</v>
      </c>
      <c r="B590" t="s">
        <v>696</v>
      </c>
      <c r="C590" t="s">
        <v>1115</v>
      </c>
      <c r="D590" t="s">
        <v>1127</v>
      </c>
      <c r="E590">
        <v>97.87</v>
      </c>
      <c r="F590">
        <v>946513</v>
      </c>
      <c r="G590" t="s">
        <v>1129</v>
      </c>
      <c r="H590" t="s">
        <v>1133</v>
      </c>
    </row>
    <row r="591" spans="1:8" x14ac:dyDescent="0.25">
      <c r="A591" t="s">
        <v>33</v>
      </c>
      <c r="B591" t="s">
        <v>697</v>
      </c>
      <c r="C591" t="s">
        <v>1117</v>
      </c>
      <c r="D591" t="s">
        <v>1126</v>
      </c>
      <c r="E591">
        <v>78.84</v>
      </c>
      <c r="F591">
        <v>401485</v>
      </c>
      <c r="G591" t="s">
        <v>1131</v>
      </c>
      <c r="H591" t="s">
        <v>1133</v>
      </c>
    </row>
    <row r="592" spans="1:8" x14ac:dyDescent="0.25">
      <c r="A592" t="s">
        <v>32</v>
      </c>
      <c r="B592" t="s">
        <v>698</v>
      </c>
      <c r="C592" t="s">
        <v>1117</v>
      </c>
      <c r="D592" t="s">
        <v>1122</v>
      </c>
      <c r="E592">
        <v>46.42</v>
      </c>
      <c r="F592">
        <v>554138</v>
      </c>
      <c r="G592" t="s">
        <v>1128</v>
      </c>
      <c r="H592" t="s">
        <v>1133</v>
      </c>
    </row>
    <row r="593" spans="1:8" x14ac:dyDescent="0.25">
      <c r="A593" t="s">
        <v>92</v>
      </c>
      <c r="B593" t="s">
        <v>699</v>
      </c>
      <c r="C593" t="s">
        <v>1113</v>
      </c>
      <c r="D593" t="s">
        <v>1121</v>
      </c>
      <c r="E593">
        <v>83.36</v>
      </c>
      <c r="F593">
        <v>730086</v>
      </c>
      <c r="G593" t="s">
        <v>1129</v>
      </c>
      <c r="H593" t="s">
        <v>1134</v>
      </c>
    </row>
    <row r="594" spans="1:8" x14ac:dyDescent="0.25">
      <c r="A594" t="s">
        <v>10</v>
      </c>
      <c r="B594" t="s">
        <v>700</v>
      </c>
      <c r="C594" t="s">
        <v>1116</v>
      </c>
      <c r="D594" t="s">
        <v>1123</v>
      </c>
      <c r="E594">
        <v>55.38</v>
      </c>
      <c r="F594">
        <v>457790</v>
      </c>
      <c r="G594" t="s">
        <v>1130</v>
      </c>
      <c r="H594" t="s">
        <v>1133</v>
      </c>
    </row>
    <row r="595" spans="1:8" x14ac:dyDescent="0.25">
      <c r="A595" t="s">
        <v>36</v>
      </c>
      <c r="B595" t="s">
        <v>701</v>
      </c>
      <c r="C595" t="s">
        <v>1111</v>
      </c>
      <c r="D595" t="s">
        <v>1125</v>
      </c>
      <c r="E595">
        <v>51.27</v>
      </c>
      <c r="F595">
        <v>704677</v>
      </c>
      <c r="G595" t="s">
        <v>1132</v>
      </c>
      <c r="H595" t="s">
        <v>1133</v>
      </c>
    </row>
    <row r="596" spans="1:8" x14ac:dyDescent="0.25">
      <c r="A596" t="s">
        <v>79</v>
      </c>
      <c r="B596" t="s">
        <v>702</v>
      </c>
      <c r="C596" t="s">
        <v>1116</v>
      </c>
      <c r="D596" t="s">
        <v>1119</v>
      </c>
      <c r="E596">
        <v>54.29</v>
      </c>
      <c r="F596">
        <v>213574</v>
      </c>
      <c r="G596" t="s">
        <v>1131</v>
      </c>
      <c r="H596" t="s">
        <v>1133</v>
      </c>
    </row>
    <row r="597" spans="1:8" x14ac:dyDescent="0.25">
      <c r="A597" t="s">
        <v>63</v>
      </c>
      <c r="B597" t="s">
        <v>703</v>
      </c>
      <c r="C597" t="s">
        <v>1113</v>
      </c>
      <c r="D597" t="s">
        <v>1118</v>
      </c>
      <c r="E597">
        <v>70.430000000000007</v>
      </c>
      <c r="F597">
        <v>859519</v>
      </c>
      <c r="G597" t="s">
        <v>1131</v>
      </c>
      <c r="H597" t="s">
        <v>1133</v>
      </c>
    </row>
    <row r="598" spans="1:8" x14ac:dyDescent="0.25">
      <c r="A598" t="s">
        <v>84</v>
      </c>
      <c r="B598" t="s">
        <v>704</v>
      </c>
      <c r="C598" t="s">
        <v>1117</v>
      </c>
      <c r="D598" t="s">
        <v>1126</v>
      </c>
      <c r="E598">
        <v>75.39</v>
      </c>
      <c r="F598">
        <v>341656</v>
      </c>
      <c r="G598" t="s">
        <v>1132</v>
      </c>
      <c r="H598" t="s">
        <v>1134</v>
      </c>
    </row>
    <row r="599" spans="1:8" x14ac:dyDescent="0.25">
      <c r="A599" t="s">
        <v>75</v>
      </c>
      <c r="B599" t="s">
        <v>705</v>
      </c>
      <c r="C599" t="s">
        <v>1113</v>
      </c>
      <c r="D599" t="s">
        <v>1121</v>
      </c>
      <c r="E599">
        <v>56.22</v>
      </c>
      <c r="F599">
        <v>293858</v>
      </c>
      <c r="G599" t="s">
        <v>1129</v>
      </c>
      <c r="H599" t="s">
        <v>1133</v>
      </c>
    </row>
    <row r="600" spans="1:8" x14ac:dyDescent="0.25">
      <c r="A600" t="s">
        <v>42</v>
      </c>
      <c r="B600" t="s">
        <v>706</v>
      </c>
      <c r="C600" t="s">
        <v>1110</v>
      </c>
      <c r="D600" t="s">
        <v>1123</v>
      </c>
      <c r="E600">
        <v>72.94</v>
      </c>
      <c r="F600">
        <v>377716</v>
      </c>
      <c r="G600" t="s">
        <v>1129</v>
      </c>
      <c r="H600" t="s">
        <v>1133</v>
      </c>
    </row>
    <row r="601" spans="1:8" x14ac:dyDescent="0.25">
      <c r="A601" t="s">
        <v>76</v>
      </c>
      <c r="B601" t="s">
        <v>707</v>
      </c>
      <c r="C601" t="s">
        <v>1113</v>
      </c>
      <c r="D601" t="s">
        <v>1123</v>
      </c>
      <c r="E601">
        <v>44.91</v>
      </c>
      <c r="F601">
        <v>421963</v>
      </c>
      <c r="G601" t="s">
        <v>1132</v>
      </c>
      <c r="H601" t="s">
        <v>1133</v>
      </c>
    </row>
    <row r="602" spans="1:8" x14ac:dyDescent="0.25">
      <c r="A602" t="s">
        <v>84</v>
      </c>
      <c r="B602" t="s">
        <v>708</v>
      </c>
      <c r="C602" t="s">
        <v>1117</v>
      </c>
      <c r="D602" t="s">
        <v>1118</v>
      </c>
      <c r="E602">
        <v>74.94</v>
      </c>
      <c r="F602">
        <v>824797</v>
      </c>
      <c r="G602" t="s">
        <v>1131</v>
      </c>
      <c r="H602" t="s">
        <v>1133</v>
      </c>
    </row>
    <row r="603" spans="1:8" x14ac:dyDescent="0.25">
      <c r="A603" t="s">
        <v>67</v>
      </c>
      <c r="B603" t="s">
        <v>709</v>
      </c>
      <c r="C603" t="s">
        <v>1109</v>
      </c>
      <c r="D603" t="s">
        <v>1127</v>
      </c>
      <c r="E603">
        <v>49.67</v>
      </c>
      <c r="F603">
        <v>929961</v>
      </c>
      <c r="G603" t="s">
        <v>1132</v>
      </c>
      <c r="H603" t="s">
        <v>1134</v>
      </c>
    </row>
    <row r="604" spans="1:8" x14ac:dyDescent="0.25">
      <c r="A604" t="s">
        <v>81</v>
      </c>
      <c r="B604" t="s">
        <v>710</v>
      </c>
      <c r="C604" t="s">
        <v>1110</v>
      </c>
      <c r="D604" t="s">
        <v>1127</v>
      </c>
      <c r="E604">
        <v>38.33</v>
      </c>
      <c r="F604">
        <v>128019</v>
      </c>
      <c r="G604" t="s">
        <v>1131</v>
      </c>
      <c r="H604" t="s">
        <v>1134</v>
      </c>
    </row>
    <row r="605" spans="1:8" x14ac:dyDescent="0.25">
      <c r="A605" t="s">
        <v>46</v>
      </c>
      <c r="B605" t="s">
        <v>711</v>
      </c>
      <c r="C605" t="s">
        <v>1113</v>
      </c>
      <c r="D605" t="s">
        <v>1122</v>
      </c>
      <c r="E605">
        <v>74.069999999999993</v>
      </c>
      <c r="F605">
        <v>116363</v>
      </c>
      <c r="G605" t="s">
        <v>1132</v>
      </c>
      <c r="H605" t="s">
        <v>1133</v>
      </c>
    </row>
    <row r="606" spans="1:8" x14ac:dyDescent="0.25">
      <c r="A606" t="s">
        <v>76</v>
      </c>
      <c r="B606" t="s">
        <v>712</v>
      </c>
      <c r="C606" t="s">
        <v>1108</v>
      </c>
      <c r="D606" t="s">
        <v>1125</v>
      </c>
      <c r="E606">
        <v>83.31</v>
      </c>
      <c r="F606">
        <v>180473</v>
      </c>
      <c r="G606" t="s">
        <v>1128</v>
      </c>
      <c r="H606" t="s">
        <v>1134</v>
      </c>
    </row>
    <row r="607" spans="1:8" x14ac:dyDescent="0.25">
      <c r="A607" t="s">
        <v>42</v>
      </c>
      <c r="B607" t="s">
        <v>713</v>
      </c>
      <c r="C607" t="s">
        <v>1110</v>
      </c>
      <c r="D607" t="s">
        <v>1120</v>
      </c>
      <c r="E607">
        <v>80.97</v>
      </c>
      <c r="F607">
        <v>920395</v>
      </c>
      <c r="G607" t="s">
        <v>1129</v>
      </c>
      <c r="H607" t="s">
        <v>1134</v>
      </c>
    </row>
    <row r="608" spans="1:8" x14ac:dyDescent="0.25">
      <c r="A608" t="s">
        <v>63</v>
      </c>
      <c r="B608" t="s">
        <v>714</v>
      </c>
      <c r="C608" t="s">
        <v>1116</v>
      </c>
      <c r="D608" t="s">
        <v>1122</v>
      </c>
      <c r="E608">
        <v>51.99</v>
      </c>
      <c r="F608">
        <v>339748</v>
      </c>
      <c r="G608" t="s">
        <v>1132</v>
      </c>
      <c r="H608" t="s">
        <v>1133</v>
      </c>
    </row>
    <row r="609" spans="1:8" x14ac:dyDescent="0.25">
      <c r="A609" t="s">
        <v>65</v>
      </c>
      <c r="B609" t="s">
        <v>715</v>
      </c>
      <c r="C609" t="s">
        <v>1110</v>
      </c>
      <c r="D609" t="s">
        <v>1121</v>
      </c>
      <c r="E609">
        <v>37.72</v>
      </c>
      <c r="F609">
        <v>730385</v>
      </c>
      <c r="G609" t="s">
        <v>1129</v>
      </c>
      <c r="H609" t="s">
        <v>1133</v>
      </c>
    </row>
    <row r="610" spans="1:8" x14ac:dyDescent="0.25">
      <c r="A610" t="s">
        <v>39</v>
      </c>
      <c r="B610" t="s">
        <v>716</v>
      </c>
      <c r="C610" t="s">
        <v>1113</v>
      </c>
      <c r="D610" t="s">
        <v>1122</v>
      </c>
      <c r="E610">
        <v>88.81</v>
      </c>
      <c r="F610">
        <v>648261</v>
      </c>
      <c r="G610" t="s">
        <v>1129</v>
      </c>
      <c r="H610" t="s">
        <v>1133</v>
      </c>
    </row>
    <row r="611" spans="1:8" x14ac:dyDescent="0.25">
      <c r="A611" t="s">
        <v>51</v>
      </c>
      <c r="B611" t="s">
        <v>717</v>
      </c>
      <c r="C611" t="s">
        <v>1116</v>
      </c>
      <c r="D611" t="s">
        <v>1122</v>
      </c>
      <c r="E611">
        <v>68.91</v>
      </c>
      <c r="F611">
        <v>293985</v>
      </c>
      <c r="G611" t="s">
        <v>1128</v>
      </c>
      <c r="H611" t="s">
        <v>1133</v>
      </c>
    </row>
    <row r="612" spans="1:8" x14ac:dyDescent="0.25">
      <c r="A612" t="s">
        <v>45</v>
      </c>
      <c r="B612" t="s">
        <v>718</v>
      </c>
      <c r="C612" t="s">
        <v>1111</v>
      </c>
      <c r="D612" t="s">
        <v>1119</v>
      </c>
      <c r="E612">
        <v>54.52</v>
      </c>
      <c r="F612">
        <v>561781</v>
      </c>
      <c r="G612" t="s">
        <v>1129</v>
      </c>
      <c r="H612" t="s">
        <v>1134</v>
      </c>
    </row>
    <row r="613" spans="1:8" x14ac:dyDescent="0.25">
      <c r="A613" t="s">
        <v>25</v>
      </c>
      <c r="B613" t="s">
        <v>719</v>
      </c>
      <c r="C613" t="s">
        <v>1111</v>
      </c>
      <c r="D613" t="s">
        <v>1119</v>
      </c>
      <c r="E613">
        <v>66.349999999999994</v>
      </c>
      <c r="F613">
        <v>353135</v>
      </c>
      <c r="G613" t="s">
        <v>1132</v>
      </c>
      <c r="H613" t="s">
        <v>1133</v>
      </c>
    </row>
    <row r="614" spans="1:8" x14ac:dyDescent="0.25">
      <c r="A614" t="s">
        <v>42</v>
      </c>
      <c r="B614" t="s">
        <v>720</v>
      </c>
      <c r="C614" t="s">
        <v>1110</v>
      </c>
      <c r="D614" t="s">
        <v>1118</v>
      </c>
      <c r="E614">
        <v>93.32</v>
      </c>
      <c r="F614">
        <v>660724</v>
      </c>
      <c r="G614" t="s">
        <v>1131</v>
      </c>
      <c r="H614" t="s">
        <v>1133</v>
      </c>
    </row>
    <row r="615" spans="1:8" x14ac:dyDescent="0.25">
      <c r="A615" t="s">
        <v>45</v>
      </c>
      <c r="B615" t="s">
        <v>721</v>
      </c>
      <c r="C615" t="s">
        <v>1113</v>
      </c>
      <c r="D615" t="s">
        <v>1126</v>
      </c>
      <c r="E615">
        <v>39.869999999999997</v>
      </c>
      <c r="F615">
        <v>424513</v>
      </c>
      <c r="G615" t="s">
        <v>1129</v>
      </c>
      <c r="H615" t="s">
        <v>1133</v>
      </c>
    </row>
    <row r="616" spans="1:8" x14ac:dyDescent="0.25">
      <c r="A616" t="s">
        <v>68</v>
      </c>
      <c r="B616" t="s">
        <v>722</v>
      </c>
      <c r="C616" t="s">
        <v>1109</v>
      </c>
      <c r="D616" t="s">
        <v>1118</v>
      </c>
      <c r="E616">
        <v>51.72</v>
      </c>
      <c r="F616">
        <v>814343</v>
      </c>
      <c r="G616" t="s">
        <v>1131</v>
      </c>
      <c r="H616" t="s">
        <v>1134</v>
      </c>
    </row>
    <row r="617" spans="1:8" x14ac:dyDescent="0.25">
      <c r="A617" t="s">
        <v>38</v>
      </c>
      <c r="B617" t="s">
        <v>723</v>
      </c>
      <c r="C617" t="s">
        <v>1116</v>
      </c>
      <c r="D617" t="s">
        <v>1123</v>
      </c>
      <c r="E617">
        <v>43.46</v>
      </c>
      <c r="F617">
        <v>683637</v>
      </c>
      <c r="G617" t="s">
        <v>1132</v>
      </c>
      <c r="H617" t="s">
        <v>1133</v>
      </c>
    </row>
    <row r="618" spans="1:8" x14ac:dyDescent="0.25">
      <c r="A618" t="s">
        <v>16</v>
      </c>
      <c r="B618" t="s">
        <v>724</v>
      </c>
      <c r="C618" t="s">
        <v>1111</v>
      </c>
      <c r="D618" t="s">
        <v>1126</v>
      </c>
      <c r="E618">
        <v>35.93</v>
      </c>
      <c r="F618">
        <v>641981</v>
      </c>
      <c r="G618" t="s">
        <v>1132</v>
      </c>
      <c r="H618" t="s">
        <v>1134</v>
      </c>
    </row>
    <row r="619" spans="1:8" x14ac:dyDescent="0.25">
      <c r="A619" t="s">
        <v>58</v>
      </c>
      <c r="B619" t="s">
        <v>725</v>
      </c>
      <c r="C619" t="s">
        <v>1116</v>
      </c>
      <c r="D619" t="s">
        <v>1127</v>
      </c>
      <c r="E619">
        <v>75.87</v>
      </c>
      <c r="F619">
        <v>687135</v>
      </c>
      <c r="G619" t="s">
        <v>1128</v>
      </c>
      <c r="H619" t="s">
        <v>1133</v>
      </c>
    </row>
    <row r="620" spans="1:8" x14ac:dyDescent="0.25">
      <c r="A620" t="s">
        <v>11</v>
      </c>
      <c r="B620" t="s">
        <v>726</v>
      </c>
      <c r="C620" t="s">
        <v>1112</v>
      </c>
      <c r="D620" t="s">
        <v>1119</v>
      </c>
      <c r="E620">
        <v>89.04</v>
      </c>
      <c r="F620">
        <v>722686</v>
      </c>
      <c r="G620" t="s">
        <v>1129</v>
      </c>
      <c r="H620" t="s">
        <v>1134</v>
      </c>
    </row>
    <row r="621" spans="1:8" x14ac:dyDescent="0.25">
      <c r="A621" t="s">
        <v>96</v>
      </c>
      <c r="B621" t="s">
        <v>727</v>
      </c>
      <c r="C621" t="s">
        <v>1112</v>
      </c>
      <c r="D621" t="s">
        <v>1121</v>
      </c>
      <c r="E621">
        <v>87.76</v>
      </c>
      <c r="F621">
        <v>532732</v>
      </c>
      <c r="G621" t="s">
        <v>1128</v>
      </c>
      <c r="H621" t="s">
        <v>1133</v>
      </c>
    </row>
    <row r="622" spans="1:8" x14ac:dyDescent="0.25">
      <c r="A622" t="s">
        <v>85</v>
      </c>
      <c r="B622" t="s">
        <v>728</v>
      </c>
      <c r="C622" t="s">
        <v>1112</v>
      </c>
      <c r="D622" t="s">
        <v>1124</v>
      </c>
      <c r="E622">
        <v>54.45</v>
      </c>
      <c r="F622">
        <v>252439</v>
      </c>
      <c r="G622" t="s">
        <v>1128</v>
      </c>
      <c r="H622" t="s">
        <v>1133</v>
      </c>
    </row>
    <row r="623" spans="1:8" x14ac:dyDescent="0.25">
      <c r="A623" t="s">
        <v>75</v>
      </c>
      <c r="B623" t="s">
        <v>729</v>
      </c>
      <c r="C623" t="s">
        <v>1112</v>
      </c>
      <c r="D623" t="s">
        <v>1123</v>
      </c>
      <c r="E623">
        <v>41.11</v>
      </c>
      <c r="F623">
        <v>924670</v>
      </c>
      <c r="G623" t="s">
        <v>1129</v>
      </c>
      <c r="H623" t="s">
        <v>1133</v>
      </c>
    </row>
    <row r="624" spans="1:8" x14ac:dyDescent="0.25">
      <c r="A624" t="s">
        <v>92</v>
      </c>
      <c r="B624" t="s">
        <v>730</v>
      </c>
      <c r="C624" t="s">
        <v>1116</v>
      </c>
      <c r="D624" t="s">
        <v>1124</v>
      </c>
      <c r="E624">
        <v>48.45</v>
      </c>
      <c r="F624">
        <v>601735</v>
      </c>
      <c r="G624" t="s">
        <v>1132</v>
      </c>
      <c r="H624" t="s">
        <v>1133</v>
      </c>
    </row>
    <row r="625" spans="1:8" x14ac:dyDescent="0.25">
      <c r="A625" t="s">
        <v>87</v>
      </c>
      <c r="B625" t="s">
        <v>731</v>
      </c>
      <c r="C625" t="s">
        <v>1115</v>
      </c>
      <c r="D625" t="s">
        <v>1119</v>
      </c>
      <c r="E625">
        <v>52.65</v>
      </c>
      <c r="F625">
        <v>308943</v>
      </c>
      <c r="G625" t="s">
        <v>1129</v>
      </c>
      <c r="H625" t="s">
        <v>1134</v>
      </c>
    </row>
    <row r="626" spans="1:8" x14ac:dyDescent="0.25">
      <c r="A626" t="s">
        <v>26</v>
      </c>
      <c r="B626" t="s">
        <v>732</v>
      </c>
      <c r="C626" t="s">
        <v>1117</v>
      </c>
      <c r="D626" t="s">
        <v>1118</v>
      </c>
      <c r="E626">
        <v>37.18</v>
      </c>
      <c r="F626">
        <v>842887</v>
      </c>
      <c r="G626" t="s">
        <v>1132</v>
      </c>
      <c r="H626" t="s">
        <v>1133</v>
      </c>
    </row>
    <row r="627" spans="1:8" x14ac:dyDescent="0.25">
      <c r="A627" t="s">
        <v>63</v>
      </c>
      <c r="B627" t="s">
        <v>733</v>
      </c>
      <c r="C627" t="s">
        <v>1117</v>
      </c>
      <c r="D627" t="s">
        <v>1122</v>
      </c>
      <c r="E627">
        <v>98.02</v>
      </c>
      <c r="F627">
        <v>217587</v>
      </c>
      <c r="G627" t="s">
        <v>1130</v>
      </c>
      <c r="H627" t="s">
        <v>1134</v>
      </c>
    </row>
    <row r="628" spans="1:8" x14ac:dyDescent="0.25">
      <c r="A628" t="s">
        <v>72</v>
      </c>
      <c r="B628" t="s">
        <v>734</v>
      </c>
      <c r="C628" t="s">
        <v>1111</v>
      </c>
      <c r="D628" t="s">
        <v>1127</v>
      </c>
      <c r="E628">
        <v>41.54</v>
      </c>
      <c r="F628">
        <v>591869</v>
      </c>
      <c r="G628" t="s">
        <v>1129</v>
      </c>
      <c r="H628" t="s">
        <v>1133</v>
      </c>
    </row>
    <row r="629" spans="1:8" x14ac:dyDescent="0.25">
      <c r="A629" t="s">
        <v>12</v>
      </c>
      <c r="B629" t="s">
        <v>735</v>
      </c>
      <c r="C629" t="s">
        <v>1116</v>
      </c>
      <c r="D629" t="s">
        <v>1120</v>
      </c>
      <c r="E629">
        <v>85.93</v>
      </c>
      <c r="F629">
        <v>694538</v>
      </c>
      <c r="G629" t="s">
        <v>1128</v>
      </c>
      <c r="H629" t="s">
        <v>1133</v>
      </c>
    </row>
    <row r="630" spans="1:8" x14ac:dyDescent="0.25">
      <c r="A630" t="s">
        <v>76</v>
      </c>
      <c r="B630" t="s">
        <v>736</v>
      </c>
      <c r="C630" t="s">
        <v>1112</v>
      </c>
      <c r="D630" t="s">
        <v>1124</v>
      </c>
      <c r="E630">
        <v>78.66</v>
      </c>
      <c r="F630">
        <v>735795</v>
      </c>
      <c r="G630" t="s">
        <v>1131</v>
      </c>
      <c r="H630" t="s">
        <v>1133</v>
      </c>
    </row>
    <row r="631" spans="1:8" x14ac:dyDescent="0.25">
      <c r="A631" t="s">
        <v>46</v>
      </c>
      <c r="B631" t="s">
        <v>737</v>
      </c>
      <c r="C631" t="s">
        <v>1110</v>
      </c>
      <c r="D631" t="s">
        <v>1127</v>
      </c>
      <c r="E631">
        <v>38.520000000000003</v>
      </c>
      <c r="F631">
        <v>239225</v>
      </c>
      <c r="G631" t="s">
        <v>1132</v>
      </c>
      <c r="H631" t="s">
        <v>1133</v>
      </c>
    </row>
    <row r="632" spans="1:8" x14ac:dyDescent="0.25">
      <c r="A632" t="s">
        <v>35</v>
      </c>
      <c r="B632" t="s">
        <v>738</v>
      </c>
      <c r="C632" t="s">
        <v>1110</v>
      </c>
      <c r="D632" t="s">
        <v>1122</v>
      </c>
      <c r="E632">
        <v>94.27</v>
      </c>
      <c r="F632">
        <v>246020</v>
      </c>
      <c r="G632" t="s">
        <v>1128</v>
      </c>
      <c r="H632" t="s">
        <v>1133</v>
      </c>
    </row>
    <row r="633" spans="1:8" x14ac:dyDescent="0.25">
      <c r="A633" t="s">
        <v>48</v>
      </c>
      <c r="B633" t="s">
        <v>739</v>
      </c>
      <c r="C633" t="s">
        <v>1110</v>
      </c>
      <c r="D633" t="s">
        <v>1126</v>
      </c>
      <c r="E633">
        <v>76.11</v>
      </c>
      <c r="F633">
        <v>123625</v>
      </c>
      <c r="G633" t="s">
        <v>1129</v>
      </c>
      <c r="H633" t="s">
        <v>1133</v>
      </c>
    </row>
    <row r="634" spans="1:8" x14ac:dyDescent="0.25">
      <c r="A634" t="s">
        <v>35</v>
      </c>
      <c r="B634" t="s">
        <v>740</v>
      </c>
      <c r="C634" t="s">
        <v>1115</v>
      </c>
      <c r="D634" t="s">
        <v>1126</v>
      </c>
      <c r="E634">
        <v>45.59</v>
      </c>
      <c r="F634">
        <v>528458</v>
      </c>
      <c r="G634" t="s">
        <v>1128</v>
      </c>
      <c r="H634" t="s">
        <v>1133</v>
      </c>
    </row>
    <row r="635" spans="1:8" x14ac:dyDescent="0.25">
      <c r="A635" t="s">
        <v>70</v>
      </c>
      <c r="B635" t="s">
        <v>741</v>
      </c>
      <c r="C635" t="s">
        <v>1111</v>
      </c>
      <c r="D635" t="s">
        <v>1125</v>
      </c>
      <c r="E635">
        <v>41.9</v>
      </c>
      <c r="F635">
        <v>894975</v>
      </c>
      <c r="G635" t="s">
        <v>1129</v>
      </c>
      <c r="H635" t="s">
        <v>1133</v>
      </c>
    </row>
    <row r="636" spans="1:8" x14ac:dyDescent="0.25">
      <c r="A636" t="s">
        <v>100</v>
      </c>
      <c r="B636" t="s">
        <v>742</v>
      </c>
      <c r="C636" t="s">
        <v>1108</v>
      </c>
      <c r="D636" t="s">
        <v>1120</v>
      </c>
      <c r="E636">
        <v>63.37</v>
      </c>
      <c r="F636">
        <v>693565</v>
      </c>
      <c r="G636" t="s">
        <v>1130</v>
      </c>
      <c r="H636" t="s">
        <v>1133</v>
      </c>
    </row>
    <row r="637" spans="1:8" x14ac:dyDescent="0.25">
      <c r="A637" t="s">
        <v>93</v>
      </c>
      <c r="B637" t="s">
        <v>743</v>
      </c>
      <c r="C637" t="s">
        <v>1110</v>
      </c>
      <c r="D637" t="s">
        <v>1118</v>
      </c>
      <c r="E637">
        <v>62.12</v>
      </c>
      <c r="F637">
        <v>706949</v>
      </c>
      <c r="G637" t="s">
        <v>1130</v>
      </c>
      <c r="H637" t="s">
        <v>1133</v>
      </c>
    </row>
    <row r="638" spans="1:8" x14ac:dyDescent="0.25">
      <c r="A638" t="s">
        <v>90</v>
      </c>
      <c r="B638" t="s">
        <v>744</v>
      </c>
      <c r="C638" t="s">
        <v>1110</v>
      </c>
      <c r="D638" t="s">
        <v>1121</v>
      </c>
      <c r="E638">
        <v>41.72</v>
      </c>
      <c r="F638">
        <v>959024</v>
      </c>
      <c r="G638" t="s">
        <v>1129</v>
      </c>
      <c r="H638" t="s">
        <v>1133</v>
      </c>
    </row>
    <row r="639" spans="1:8" x14ac:dyDescent="0.25">
      <c r="A639" t="s">
        <v>69</v>
      </c>
      <c r="B639" t="s">
        <v>745</v>
      </c>
      <c r="C639" t="s">
        <v>1117</v>
      </c>
      <c r="D639" t="s">
        <v>1122</v>
      </c>
      <c r="E639">
        <v>89.07</v>
      </c>
      <c r="F639">
        <v>120943</v>
      </c>
      <c r="G639" t="s">
        <v>1131</v>
      </c>
      <c r="H639" t="s">
        <v>1133</v>
      </c>
    </row>
    <row r="640" spans="1:8" x14ac:dyDescent="0.25">
      <c r="A640" t="s">
        <v>99</v>
      </c>
      <c r="B640" t="s">
        <v>746</v>
      </c>
      <c r="C640" t="s">
        <v>1113</v>
      </c>
      <c r="D640" t="s">
        <v>1127</v>
      </c>
      <c r="E640">
        <v>90.48</v>
      </c>
      <c r="F640">
        <v>395132</v>
      </c>
      <c r="G640" t="s">
        <v>1132</v>
      </c>
      <c r="H640" t="s">
        <v>1133</v>
      </c>
    </row>
    <row r="641" spans="1:8" x14ac:dyDescent="0.25">
      <c r="A641" t="s">
        <v>58</v>
      </c>
      <c r="B641" t="s">
        <v>747</v>
      </c>
      <c r="C641" t="s">
        <v>1114</v>
      </c>
      <c r="D641" t="s">
        <v>1126</v>
      </c>
      <c r="E641">
        <v>43.52</v>
      </c>
      <c r="F641">
        <v>775863</v>
      </c>
      <c r="G641" t="s">
        <v>1129</v>
      </c>
      <c r="H641" t="s">
        <v>1133</v>
      </c>
    </row>
    <row r="642" spans="1:8" x14ac:dyDescent="0.25">
      <c r="A642" t="s">
        <v>71</v>
      </c>
      <c r="B642" t="s">
        <v>748</v>
      </c>
      <c r="C642" t="s">
        <v>1114</v>
      </c>
      <c r="D642" t="s">
        <v>1123</v>
      </c>
      <c r="E642">
        <v>49.41</v>
      </c>
      <c r="F642">
        <v>638209</v>
      </c>
      <c r="G642" t="s">
        <v>1128</v>
      </c>
      <c r="H642" t="s">
        <v>1133</v>
      </c>
    </row>
    <row r="643" spans="1:8" x14ac:dyDescent="0.25">
      <c r="A643" t="s">
        <v>26</v>
      </c>
      <c r="B643" t="s">
        <v>749</v>
      </c>
      <c r="C643" t="s">
        <v>1115</v>
      </c>
      <c r="D643" t="s">
        <v>1127</v>
      </c>
      <c r="E643">
        <v>93.04</v>
      </c>
      <c r="F643">
        <v>446218</v>
      </c>
      <c r="G643" t="s">
        <v>1130</v>
      </c>
      <c r="H643" t="s">
        <v>1134</v>
      </c>
    </row>
    <row r="644" spans="1:8" x14ac:dyDescent="0.25">
      <c r="A644" t="s">
        <v>90</v>
      </c>
      <c r="B644" t="s">
        <v>750</v>
      </c>
      <c r="C644" t="s">
        <v>1117</v>
      </c>
      <c r="D644" t="s">
        <v>1122</v>
      </c>
      <c r="E644">
        <v>87.35</v>
      </c>
      <c r="F644">
        <v>619460</v>
      </c>
      <c r="G644" t="s">
        <v>1131</v>
      </c>
      <c r="H644" t="s">
        <v>1133</v>
      </c>
    </row>
    <row r="645" spans="1:8" x14ac:dyDescent="0.25">
      <c r="A645" t="s">
        <v>98</v>
      </c>
      <c r="B645" t="s">
        <v>751</v>
      </c>
      <c r="C645" t="s">
        <v>1113</v>
      </c>
      <c r="D645" t="s">
        <v>1122</v>
      </c>
      <c r="E645">
        <v>98.8</v>
      </c>
      <c r="F645">
        <v>802919</v>
      </c>
      <c r="G645" t="s">
        <v>1128</v>
      </c>
      <c r="H645" t="s">
        <v>1133</v>
      </c>
    </row>
    <row r="646" spans="1:8" x14ac:dyDescent="0.25">
      <c r="A646" t="s">
        <v>102</v>
      </c>
      <c r="B646" t="s">
        <v>752</v>
      </c>
      <c r="C646" t="s">
        <v>1108</v>
      </c>
      <c r="D646" t="s">
        <v>1120</v>
      </c>
      <c r="E646">
        <v>96.77</v>
      </c>
      <c r="F646">
        <v>423875</v>
      </c>
      <c r="G646" t="s">
        <v>1130</v>
      </c>
      <c r="H646" t="s">
        <v>1133</v>
      </c>
    </row>
    <row r="647" spans="1:8" x14ac:dyDescent="0.25">
      <c r="A647" t="s">
        <v>97</v>
      </c>
      <c r="B647" t="s">
        <v>753</v>
      </c>
      <c r="C647" t="s">
        <v>1113</v>
      </c>
      <c r="D647" t="s">
        <v>1121</v>
      </c>
      <c r="E647">
        <v>79.87</v>
      </c>
      <c r="F647">
        <v>187128</v>
      </c>
      <c r="G647" t="s">
        <v>1132</v>
      </c>
      <c r="H647" t="s">
        <v>1134</v>
      </c>
    </row>
    <row r="648" spans="1:8" x14ac:dyDescent="0.25">
      <c r="A648" t="s">
        <v>100</v>
      </c>
      <c r="B648" t="s">
        <v>754</v>
      </c>
      <c r="C648" t="s">
        <v>1110</v>
      </c>
      <c r="D648" t="s">
        <v>1126</v>
      </c>
      <c r="E648">
        <v>51.78</v>
      </c>
      <c r="F648">
        <v>586530</v>
      </c>
      <c r="G648" t="s">
        <v>1131</v>
      </c>
      <c r="H648" t="s">
        <v>1134</v>
      </c>
    </row>
    <row r="649" spans="1:8" x14ac:dyDescent="0.25">
      <c r="A649" t="s">
        <v>107</v>
      </c>
      <c r="B649" t="s">
        <v>755</v>
      </c>
      <c r="C649" t="s">
        <v>1108</v>
      </c>
      <c r="D649" t="s">
        <v>1121</v>
      </c>
      <c r="E649">
        <v>81.99</v>
      </c>
      <c r="F649">
        <v>432801</v>
      </c>
      <c r="G649" t="s">
        <v>1129</v>
      </c>
      <c r="H649" t="s">
        <v>1133</v>
      </c>
    </row>
    <row r="650" spans="1:8" x14ac:dyDescent="0.25">
      <c r="A650" t="s">
        <v>34</v>
      </c>
      <c r="B650" t="s">
        <v>756</v>
      </c>
      <c r="C650" t="s">
        <v>1115</v>
      </c>
      <c r="D650" t="s">
        <v>1124</v>
      </c>
      <c r="E650">
        <v>44.41</v>
      </c>
      <c r="F650">
        <v>940393</v>
      </c>
      <c r="G650" t="s">
        <v>1130</v>
      </c>
      <c r="H650" t="s">
        <v>1133</v>
      </c>
    </row>
    <row r="651" spans="1:8" x14ac:dyDescent="0.25">
      <c r="A651" t="s">
        <v>68</v>
      </c>
      <c r="B651" t="s">
        <v>757</v>
      </c>
      <c r="C651" t="s">
        <v>1110</v>
      </c>
      <c r="D651" t="s">
        <v>1118</v>
      </c>
      <c r="E651">
        <v>77.150000000000006</v>
      </c>
      <c r="F651">
        <v>104234</v>
      </c>
      <c r="G651" t="s">
        <v>1128</v>
      </c>
      <c r="H651" t="s">
        <v>1134</v>
      </c>
    </row>
    <row r="652" spans="1:8" x14ac:dyDescent="0.25">
      <c r="A652" t="s">
        <v>51</v>
      </c>
      <c r="B652" t="s">
        <v>758</v>
      </c>
      <c r="C652" t="s">
        <v>1108</v>
      </c>
      <c r="D652" t="s">
        <v>1124</v>
      </c>
      <c r="E652">
        <v>71.89</v>
      </c>
      <c r="F652">
        <v>308307</v>
      </c>
      <c r="G652" t="s">
        <v>1128</v>
      </c>
      <c r="H652" t="s">
        <v>1133</v>
      </c>
    </row>
    <row r="653" spans="1:8" x14ac:dyDescent="0.25">
      <c r="A653" t="s">
        <v>62</v>
      </c>
      <c r="B653" t="s">
        <v>759</v>
      </c>
      <c r="C653" t="s">
        <v>1110</v>
      </c>
      <c r="D653" t="s">
        <v>1118</v>
      </c>
      <c r="E653">
        <v>54.57</v>
      </c>
      <c r="F653">
        <v>843922</v>
      </c>
      <c r="G653" t="s">
        <v>1132</v>
      </c>
      <c r="H653" t="s">
        <v>1134</v>
      </c>
    </row>
    <row r="654" spans="1:8" x14ac:dyDescent="0.25">
      <c r="A654" t="s">
        <v>96</v>
      </c>
      <c r="B654" t="s">
        <v>760</v>
      </c>
      <c r="C654" t="s">
        <v>1108</v>
      </c>
      <c r="D654" t="s">
        <v>1122</v>
      </c>
      <c r="E654">
        <v>89.97</v>
      </c>
      <c r="F654">
        <v>701137</v>
      </c>
      <c r="G654" t="s">
        <v>1132</v>
      </c>
      <c r="H654" t="s">
        <v>1133</v>
      </c>
    </row>
    <row r="655" spans="1:8" x14ac:dyDescent="0.25">
      <c r="A655" t="s">
        <v>45</v>
      </c>
      <c r="B655" t="s">
        <v>761</v>
      </c>
      <c r="C655" t="s">
        <v>1111</v>
      </c>
      <c r="D655" t="s">
        <v>1122</v>
      </c>
      <c r="E655">
        <v>99.21</v>
      </c>
      <c r="F655">
        <v>510124</v>
      </c>
      <c r="G655" t="s">
        <v>1132</v>
      </c>
      <c r="H655" t="s">
        <v>1133</v>
      </c>
    </row>
    <row r="656" spans="1:8" x14ac:dyDescent="0.25">
      <c r="A656" t="s">
        <v>47</v>
      </c>
      <c r="B656" t="s">
        <v>762</v>
      </c>
      <c r="C656" t="s">
        <v>1115</v>
      </c>
      <c r="D656" t="s">
        <v>1118</v>
      </c>
      <c r="E656">
        <v>99.14</v>
      </c>
      <c r="F656">
        <v>191450</v>
      </c>
      <c r="G656" t="s">
        <v>1130</v>
      </c>
      <c r="H656" t="s">
        <v>1134</v>
      </c>
    </row>
    <row r="657" spans="1:8" x14ac:dyDescent="0.25">
      <c r="A657" t="s">
        <v>94</v>
      </c>
      <c r="B657" t="s">
        <v>763</v>
      </c>
      <c r="C657" t="s">
        <v>1113</v>
      </c>
      <c r="D657" t="s">
        <v>1120</v>
      </c>
      <c r="E657">
        <v>48.37</v>
      </c>
      <c r="F657">
        <v>271192</v>
      </c>
      <c r="G657" t="s">
        <v>1130</v>
      </c>
      <c r="H657" t="s">
        <v>1133</v>
      </c>
    </row>
    <row r="658" spans="1:8" x14ac:dyDescent="0.25">
      <c r="A658" t="s">
        <v>65</v>
      </c>
      <c r="B658" t="s">
        <v>764</v>
      </c>
      <c r="C658" t="s">
        <v>1115</v>
      </c>
      <c r="D658" t="s">
        <v>1125</v>
      </c>
      <c r="E658">
        <v>68.11</v>
      </c>
      <c r="F658">
        <v>177328</v>
      </c>
      <c r="G658" t="s">
        <v>1131</v>
      </c>
      <c r="H658" t="s">
        <v>1134</v>
      </c>
    </row>
    <row r="659" spans="1:8" x14ac:dyDescent="0.25">
      <c r="A659" t="s">
        <v>27</v>
      </c>
      <c r="B659" t="s">
        <v>765</v>
      </c>
      <c r="C659" t="s">
        <v>1111</v>
      </c>
      <c r="D659" t="s">
        <v>1122</v>
      </c>
      <c r="E659">
        <v>73.459999999999994</v>
      </c>
      <c r="F659">
        <v>996454</v>
      </c>
      <c r="G659" t="s">
        <v>1132</v>
      </c>
      <c r="H659" t="s">
        <v>1133</v>
      </c>
    </row>
    <row r="660" spans="1:8" x14ac:dyDescent="0.25">
      <c r="A660" t="s">
        <v>86</v>
      </c>
      <c r="B660" t="s">
        <v>766</v>
      </c>
      <c r="C660" t="s">
        <v>1111</v>
      </c>
      <c r="D660" t="s">
        <v>1126</v>
      </c>
      <c r="E660">
        <v>96.57</v>
      </c>
      <c r="F660">
        <v>186368</v>
      </c>
      <c r="G660" t="s">
        <v>1128</v>
      </c>
      <c r="H660" t="s">
        <v>1133</v>
      </c>
    </row>
    <row r="661" spans="1:8" x14ac:dyDescent="0.25">
      <c r="A661" t="s">
        <v>38</v>
      </c>
      <c r="B661" t="s">
        <v>767</v>
      </c>
      <c r="C661" t="s">
        <v>1113</v>
      </c>
      <c r="D661" t="s">
        <v>1126</v>
      </c>
      <c r="E661">
        <v>40.54</v>
      </c>
      <c r="F661">
        <v>528299</v>
      </c>
      <c r="G661" t="s">
        <v>1129</v>
      </c>
      <c r="H661" t="s">
        <v>1133</v>
      </c>
    </row>
    <row r="662" spans="1:8" x14ac:dyDescent="0.25">
      <c r="A662" t="s">
        <v>69</v>
      </c>
      <c r="B662" t="s">
        <v>768</v>
      </c>
      <c r="C662" t="s">
        <v>1114</v>
      </c>
      <c r="D662" t="s">
        <v>1125</v>
      </c>
      <c r="E662">
        <v>69.13</v>
      </c>
      <c r="F662">
        <v>266587</v>
      </c>
      <c r="G662" t="s">
        <v>1128</v>
      </c>
      <c r="H662" t="s">
        <v>1133</v>
      </c>
    </row>
    <row r="663" spans="1:8" x14ac:dyDescent="0.25">
      <c r="A663" t="s">
        <v>10</v>
      </c>
      <c r="B663" t="s">
        <v>769</v>
      </c>
      <c r="C663" t="s">
        <v>1109</v>
      </c>
      <c r="D663" t="s">
        <v>1118</v>
      </c>
      <c r="E663">
        <v>53.15</v>
      </c>
      <c r="F663">
        <v>519642</v>
      </c>
      <c r="G663" t="s">
        <v>1129</v>
      </c>
      <c r="H663" t="s">
        <v>1133</v>
      </c>
    </row>
    <row r="664" spans="1:8" x14ac:dyDescent="0.25">
      <c r="A664" t="s">
        <v>55</v>
      </c>
      <c r="B664" t="s">
        <v>770</v>
      </c>
      <c r="C664" t="s">
        <v>1114</v>
      </c>
      <c r="D664" t="s">
        <v>1125</v>
      </c>
      <c r="E664">
        <v>48.53</v>
      </c>
      <c r="F664">
        <v>315037</v>
      </c>
      <c r="G664" t="s">
        <v>1130</v>
      </c>
      <c r="H664" t="s">
        <v>1134</v>
      </c>
    </row>
    <row r="665" spans="1:8" x14ac:dyDescent="0.25">
      <c r="A665" t="s">
        <v>55</v>
      </c>
      <c r="B665" t="s">
        <v>771</v>
      </c>
      <c r="C665" t="s">
        <v>1112</v>
      </c>
      <c r="D665" t="s">
        <v>1122</v>
      </c>
      <c r="E665">
        <v>92.72</v>
      </c>
      <c r="F665">
        <v>601632</v>
      </c>
      <c r="G665" t="s">
        <v>1128</v>
      </c>
      <c r="H665" t="s">
        <v>1134</v>
      </c>
    </row>
    <row r="666" spans="1:8" x14ac:dyDescent="0.25">
      <c r="A666" t="s">
        <v>92</v>
      </c>
      <c r="B666" t="s">
        <v>772</v>
      </c>
      <c r="C666" t="s">
        <v>1112</v>
      </c>
      <c r="D666" t="s">
        <v>1120</v>
      </c>
      <c r="E666">
        <v>97.46</v>
      </c>
      <c r="F666">
        <v>262685</v>
      </c>
      <c r="G666" t="s">
        <v>1128</v>
      </c>
      <c r="H666" t="s">
        <v>1133</v>
      </c>
    </row>
    <row r="667" spans="1:8" x14ac:dyDescent="0.25">
      <c r="A667" t="s">
        <v>74</v>
      </c>
      <c r="B667" t="s">
        <v>773</v>
      </c>
      <c r="C667" t="s">
        <v>1112</v>
      </c>
      <c r="D667" t="s">
        <v>1127</v>
      </c>
      <c r="E667">
        <v>97.11</v>
      </c>
      <c r="F667">
        <v>862440</v>
      </c>
      <c r="G667" t="s">
        <v>1130</v>
      </c>
      <c r="H667" t="s">
        <v>1133</v>
      </c>
    </row>
    <row r="668" spans="1:8" x14ac:dyDescent="0.25">
      <c r="A668" t="s">
        <v>107</v>
      </c>
      <c r="B668" t="s">
        <v>774</v>
      </c>
      <c r="C668" t="s">
        <v>1108</v>
      </c>
      <c r="D668" t="s">
        <v>1118</v>
      </c>
      <c r="E668">
        <v>72.41</v>
      </c>
      <c r="F668">
        <v>259626</v>
      </c>
      <c r="G668" t="s">
        <v>1129</v>
      </c>
      <c r="H668" t="s">
        <v>1133</v>
      </c>
    </row>
    <row r="669" spans="1:8" x14ac:dyDescent="0.25">
      <c r="A669" t="s">
        <v>79</v>
      </c>
      <c r="B669" t="s">
        <v>775</v>
      </c>
      <c r="C669" t="s">
        <v>1114</v>
      </c>
      <c r="D669" t="s">
        <v>1127</v>
      </c>
      <c r="E669">
        <v>54.66</v>
      </c>
      <c r="F669">
        <v>887375</v>
      </c>
      <c r="G669" t="s">
        <v>1128</v>
      </c>
      <c r="H669" t="s">
        <v>1133</v>
      </c>
    </row>
    <row r="670" spans="1:8" x14ac:dyDescent="0.25">
      <c r="A670" t="s">
        <v>80</v>
      </c>
      <c r="B670" t="s">
        <v>776</v>
      </c>
      <c r="C670" t="s">
        <v>1117</v>
      </c>
      <c r="D670" t="s">
        <v>1119</v>
      </c>
      <c r="E670">
        <v>81.13</v>
      </c>
      <c r="F670">
        <v>981046</v>
      </c>
      <c r="G670" t="s">
        <v>1129</v>
      </c>
      <c r="H670" t="s">
        <v>1133</v>
      </c>
    </row>
    <row r="671" spans="1:8" x14ac:dyDescent="0.25">
      <c r="A671" t="s">
        <v>93</v>
      </c>
      <c r="B671" t="s">
        <v>777</v>
      </c>
      <c r="C671" t="s">
        <v>1111</v>
      </c>
      <c r="D671" t="s">
        <v>1125</v>
      </c>
      <c r="E671">
        <v>81.150000000000006</v>
      </c>
      <c r="F671">
        <v>536412</v>
      </c>
      <c r="G671" t="s">
        <v>1130</v>
      </c>
      <c r="H671" t="s">
        <v>1133</v>
      </c>
    </row>
    <row r="672" spans="1:8" x14ac:dyDescent="0.25">
      <c r="A672" t="s">
        <v>33</v>
      </c>
      <c r="B672" t="s">
        <v>778</v>
      </c>
      <c r="C672" t="s">
        <v>1114</v>
      </c>
      <c r="D672" t="s">
        <v>1122</v>
      </c>
      <c r="E672">
        <v>94.01</v>
      </c>
      <c r="F672">
        <v>332368</v>
      </c>
      <c r="G672" t="s">
        <v>1130</v>
      </c>
      <c r="H672" t="s">
        <v>1134</v>
      </c>
    </row>
    <row r="673" spans="1:8" x14ac:dyDescent="0.25">
      <c r="A673" t="s">
        <v>81</v>
      </c>
      <c r="B673" t="s">
        <v>779</v>
      </c>
      <c r="C673" t="s">
        <v>1110</v>
      </c>
      <c r="D673" t="s">
        <v>1119</v>
      </c>
      <c r="E673">
        <v>54.32</v>
      </c>
      <c r="F673">
        <v>715401</v>
      </c>
      <c r="G673" t="s">
        <v>1129</v>
      </c>
      <c r="H673" t="s">
        <v>1133</v>
      </c>
    </row>
    <row r="674" spans="1:8" x14ac:dyDescent="0.25">
      <c r="A674" t="s">
        <v>94</v>
      </c>
      <c r="B674" t="s">
        <v>780</v>
      </c>
      <c r="C674" t="s">
        <v>1115</v>
      </c>
      <c r="D674" t="s">
        <v>1125</v>
      </c>
      <c r="E674">
        <v>58.11</v>
      </c>
      <c r="F674">
        <v>376358</v>
      </c>
      <c r="G674" t="s">
        <v>1131</v>
      </c>
      <c r="H674" t="s">
        <v>1134</v>
      </c>
    </row>
    <row r="675" spans="1:8" x14ac:dyDescent="0.25">
      <c r="A675" t="s">
        <v>57</v>
      </c>
      <c r="B675" t="s">
        <v>781</v>
      </c>
      <c r="C675" t="s">
        <v>1113</v>
      </c>
      <c r="D675" t="s">
        <v>1119</v>
      </c>
      <c r="E675">
        <v>85.55</v>
      </c>
      <c r="F675">
        <v>499769</v>
      </c>
      <c r="G675" t="s">
        <v>1132</v>
      </c>
      <c r="H675" t="s">
        <v>1134</v>
      </c>
    </row>
    <row r="676" spans="1:8" x14ac:dyDescent="0.25">
      <c r="A676" t="s">
        <v>17</v>
      </c>
      <c r="B676" t="s">
        <v>782</v>
      </c>
      <c r="C676" t="s">
        <v>1114</v>
      </c>
      <c r="D676" t="s">
        <v>1118</v>
      </c>
      <c r="E676">
        <v>56.64</v>
      </c>
      <c r="F676">
        <v>384107</v>
      </c>
      <c r="G676" t="s">
        <v>1131</v>
      </c>
      <c r="H676" t="s">
        <v>1134</v>
      </c>
    </row>
    <row r="677" spans="1:8" x14ac:dyDescent="0.25">
      <c r="A677" t="s">
        <v>78</v>
      </c>
      <c r="B677" t="s">
        <v>783</v>
      </c>
      <c r="C677" t="s">
        <v>1108</v>
      </c>
      <c r="D677" t="s">
        <v>1119</v>
      </c>
      <c r="E677">
        <v>70.3</v>
      </c>
      <c r="F677">
        <v>958464</v>
      </c>
      <c r="G677" t="s">
        <v>1128</v>
      </c>
      <c r="H677" t="s">
        <v>1133</v>
      </c>
    </row>
    <row r="678" spans="1:8" x14ac:dyDescent="0.25">
      <c r="A678" t="s">
        <v>72</v>
      </c>
      <c r="B678" t="s">
        <v>784</v>
      </c>
      <c r="C678" t="s">
        <v>1117</v>
      </c>
      <c r="D678" t="s">
        <v>1120</v>
      </c>
      <c r="E678">
        <v>48.62</v>
      </c>
      <c r="F678">
        <v>676888</v>
      </c>
      <c r="G678" t="s">
        <v>1130</v>
      </c>
      <c r="H678" t="s">
        <v>1134</v>
      </c>
    </row>
    <row r="679" spans="1:8" x14ac:dyDescent="0.25">
      <c r="A679" t="s">
        <v>78</v>
      </c>
      <c r="B679" t="s">
        <v>785</v>
      </c>
      <c r="C679" t="s">
        <v>1117</v>
      </c>
      <c r="D679" t="s">
        <v>1126</v>
      </c>
      <c r="E679">
        <v>97.39</v>
      </c>
      <c r="F679">
        <v>429897</v>
      </c>
      <c r="G679" t="s">
        <v>1129</v>
      </c>
      <c r="H679" t="s">
        <v>1133</v>
      </c>
    </row>
    <row r="680" spans="1:8" x14ac:dyDescent="0.25">
      <c r="A680" t="s">
        <v>32</v>
      </c>
      <c r="B680" t="s">
        <v>786</v>
      </c>
      <c r="C680" t="s">
        <v>1111</v>
      </c>
      <c r="D680" t="s">
        <v>1123</v>
      </c>
      <c r="E680">
        <v>38.159999999999997</v>
      </c>
      <c r="F680">
        <v>484634</v>
      </c>
      <c r="G680" t="s">
        <v>1129</v>
      </c>
      <c r="H680" t="s">
        <v>1133</v>
      </c>
    </row>
    <row r="681" spans="1:8" x14ac:dyDescent="0.25">
      <c r="A681" t="s">
        <v>93</v>
      </c>
      <c r="B681" t="s">
        <v>787</v>
      </c>
      <c r="C681" t="s">
        <v>1112</v>
      </c>
      <c r="D681" t="s">
        <v>1127</v>
      </c>
      <c r="E681">
        <v>59.03</v>
      </c>
      <c r="F681">
        <v>575077</v>
      </c>
      <c r="G681" t="s">
        <v>1132</v>
      </c>
      <c r="H681" t="s">
        <v>1134</v>
      </c>
    </row>
    <row r="682" spans="1:8" x14ac:dyDescent="0.25">
      <c r="A682" t="s">
        <v>23</v>
      </c>
      <c r="B682" t="s">
        <v>788</v>
      </c>
      <c r="C682" t="s">
        <v>1108</v>
      </c>
      <c r="D682" t="s">
        <v>1118</v>
      </c>
      <c r="E682">
        <v>59.67</v>
      </c>
      <c r="F682">
        <v>294426</v>
      </c>
      <c r="G682" t="s">
        <v>1132</v>
      </c>
      <c r="H682" t="s">
        <v>1133</v>
      </c>
    </row>
    <row r="683" spans="1:8" x14ac:dyDescent="0.25">
      <c r="A683" t="s">
        <v>56</v>
      </c>
      <c r="B683" t="s">
        <v>789</v>
      </c>
      <c r="C683" t="s">
        <v>1108</v>
      </c>
      <c r="D683" t="s">
        <v>1121</v>
      </c>
      <c r="E683">
        <v>56.33</v>
      </c>
      <c r="F683">
        <v>114622</v>
      </c>
      <c r="G683" t="s">
        <v>1128</v>
      </c>
      <c r="H683" t="s">
        <v>1133</v>
      </c>
    </row>
    <row r="684" spans="1:8" x14ac:dyDescent="0.25">
      <c r="A684" t="s">
        <v>49</v>
      </c>
      <c r="B684" t="s">
        <v>790</v>
      </c>
      <c r="C684" t="s">
        <v>1110</v>
      </c>
      <c r="D684" t="s">
        <v>1127</v>
      </c>
      <c r="E684">
        <v>72.52</v>
      </c>
      <c r="F684">
        <v>224086</v>
      </c>
      <c r="G684" t="s">
        <v>1130</v>
      </c>
      <c r="H684" t="s">
        <v>1133</v>
      </c>
    </row>
    <row r="685" spans="1:8" x14ac:dyDescent="0.25">
      <c r="A685" t="s">
        <v>59</v>
      </c>
      <c r="B685" t="s">
        <v>791</v>
      </c>
      <c r="C685" t="s">
        <v>1117</v>
      </c>
      <c r="D685" t="s">
        <v>1120</v>
      </c>
      <c r="E685">
        <v>59.98</v>
      </c>
      <c r="F685">
        <v>734505</v>
      </c>
      <c r="G685" t="s">
        <v>1131</v>
      </c>
      <c r="H685" t="s">
        <v>1134</v>
      </c>
    </row>
    <row r="686" spans="1:8" x14ac:dyDescent="0.25">
      <c r="A686" t="s">
        <v>45</v>
      </c>
      <c r="B686" t="s">
        <v>792</v>
      </c>
      <c r="C686" t="s">
        <v>1113</v>
      </c>
      <c r="D686" t="s">
        <v>1123</v>
      </c>
      <c r="E686">
        <v>60.23</v>
      </c>
      <c r="F686">
        <v>346770</v>
      </c>
      <c r="G686" t="s">
        <v>1132</v>
      </c>
      <c r="H686" t="s">
        <v>1133</v>
      </c>
    </row>
    <row r="687" spans="1:8" x14ac:dyDescent="0.25">
      <c r="A687" t="s">
        <v>11</v>
      </c>
      <c r="B687" t="s">
        <v>793</v>
      </c>
      <c r="C687" t="s">
        <v>1113</v>
      </c>
      <c r="D687" t="s">
        <v>1125</v>
      </c>
      <c r="E687">
        <v>87.82</v>
      </c>
      <c r="F687">
        <v>890234</v>
      </c>
      <c r="G687" t="s">
        <v>1130</v>
      </c>
      <c r="H687" t="s">
        <v>1133</v>
      </c>
    </row>
    <row r="688" spans="1:8" x14ac:dyDescent="0.25">
      <c r="A688" t="s">
        <v>40</v>
      </c>
      <c r="B688" t="s">
        <v>794</v>
      </c>
      <c r="C688" t="s">
        <v>1115</v>
      </c>
      <c r="D688" t="s">
        <v>1122</v>
      </c>
      <c r="E688">
        <v>98.73</v>
      </c>
      <c r="F688">
        <v>560191</v>
      </c>
      <c r="G688" t="s">
        <v>1129</v>
      </c>
      <c r="H688" t="s">
        <v>1133</v>
      </c>
    </row>
    <row r="689" spans="1:8" x14ac:dyDescent="0.25">
      <c r="A689" t="s">
        <v>45</v>
      </c>
      <c r="B689" t="s">
        <v>795</v>
      </c>
      <c r="C689" t="s">
        <v>1110</v>
      </c>
      <c r="D689" t="s">
        <v>1126</v>
      </c>
      <c r="E689">
        <v>75.599999999999994</v>
      </c>
      <c r="F689">
        <v>779059</v>
      </c>
      <c r="G689" t="s">
        <v>1130</v>
      </c>
      <c r="H689" t="s">
        <v>1133</v>
      </c>
    </row>
    <row r="690" spans="1:8" x14ac:dyDescent="0.25">
      <c r="A690" t="s">
        <v>23</v>
      </c>
      <c r="B690" t="s">
        <v>796</v>
      </c>
      <c r="C690" t="s">
        <v>1115</v>
      </c>
      <c r="D690" t="s">
        <v>1127</v>
      </c>
      <c r="E690">
        <v>85.52</v>
      </c>
      <c r="F690">
        <v>910599</v>
      </c>
      <c r="G690" t="s">
        <v>1132</v>
      </c>
      <c r="H690" t="s">
        <v>1133</v>
      </c>
    </row>
    <row r="691" spans="1:8" x14ac:dyDescent="0.25">
      <c r="A691" t="s">
        <v>32</v>
      </c>
      <c r="B691" t="s">
        <v>797</v>
      </c>
      <c r="C691" t="s">
        <v>1112</v>
      </c>
      <c r="D691" t="s">
        <v>1119</v>
      </c>
      <c r="E691">
        <v>74.34</v>
      </c>
      <c r="F691">
        <v>220063</v>
      </c>
      <c r="G691" t="s">
        <v>1130</v>
      </c>
      <c r="H691" t="s">
        <v>1133</v>
      </c>
    </row>
    <row r="692" spans="1:8" x14ac:dyDescent="0.25">
      <c r="A692" t="s">
        <v>91</v>
      </c>
      <c r="B692" t="s">
        <v>798</v>
      </c>
      <c r="C692" t="s">
        <v>1117</v>
      </c>
      <c r="D692" t="s">
        <v>1121</v>
      </c>
      <c r="E692">
        <v>94.93</v>
      </c>
      <c r="F692">
        <v>877225</v>
      </c>
      <c r="G692" t="s">
        <v>1131</v>
      </c>
      <c r="H692" t="s">
        <v>1133</v>
      </c>
    </row>
    <row r="693" spans="1:8" x14ac:dyDescent="0.25">
      <c r="A693" t="s">
        <v>30</v>
      </c>
      <c r="B693" t="s">
        <v>799</v>
      </c>
      <c r="C693" t="s">
        <v>1113</v>
      </c>
      <c r="D693" t="s">
        <v>1119</v>
      </c>
      <c r="E693">
        <v>83.47</v>
      </c>
      <c r="F693">
        <v>875413</v>
      </c>
      <c r="G693" t="s">
        <v>1128</v>
      </c>
      <c r="H693" t="s">
        <v>1134</v>
      </c>
    </row>
    <row r="694" spans="1:8" x14ac:dyDescent="0.25">
      <c r="A694" t="s">
        <v>107</v>
      </c>
      <c r="B694" t="s">
        <v>800</v>
      </c>
      <c r="C694" t="s">
        <v>1111</v>
      </c>
      <c r="D694" t="s">
        <v>1123</v>
      </c>
      <c r="E694">
        <v>87.2</v>
      </c>
      <c r="F694">
        <v>745316</v>
      </c>
      <c r="G694" t="s">
        <v>1132</v>
      </c>
      <c r="H694" t="s">
        <v>1133</v>
      </c>
    </row>
    <row r="695" spans="1:8" x14ac:dyDescent="0.25">
      <c r="A695" t="s">
        <v>44</v>
      </c>
      <c r="B695" t="s">
        <v>801</v>
      </c>
      <c r="C695" t="s">
        <v>1110</v>
      </c>
      <c r="D695" t="s">
        <v>1126</v>
      </c>
      <c r="E695">
        <v>48.02</v>
      </c>
      <c r="F695">
        <v>774632</v>
      </c>
      <c r="G695" t="s">
        <v>1131</v>
      </c>
      <c r="H695" t="s">
        <v>1133</v>
      </c>
    </row>
    <row r="696" spans="1:8" x14ac:dyDescent="0.25">
      <c r="A696" t="s">
        <v>28</v>
      </c>
      <c r="B696" t="s">
        <v>802</v>
      </c>
      <c r="C696" t="s">
        <v>1112</v>
      </c>
      <c r="D696" t="s">
        <v>1118</v>
      </c>
      <c r="E696">
        <v>64.94</v>
      </c>
      <c r="F696">
        <v>677194</v>
      </c>
      <c r="G696" t="s">
        <v>1128</v>
      </c>
      <c r="H696" t="s">
        <v>1134</v>
      </c>
    </row>
    <row r="697" spans="1:8" x14ac:dyDescent="0.25">
      <c r="A697" t="s">
        <v>106</v>
      </c>
      <c r="B697" t="s">
        <v>803</v>
      </c>
      <c r="C697" t="s">
        <v>1114</v>
      </c>
      <c r="D697" t="s">
        <v>1120</v>
      </c>
      <c r="E697">
        <v>69.540000000000006</v>
      </c>
      <c r="F697">
        <v>139780</v>
      </c>
      <c r="G697" t="s">
        <v>1132</v>
      </c>
      <c r="H697" t="s">
        <v>1133</v>
      </c>
    </row>
    <row r="698" spans="1:8" x14ac:dyDescent="0.25">
      <c r="A698" t="s">
        <v>45</v>
      </c>
      <c r="B698" t="s">
        <v>804</v>
      </c>
      <c r="C698" t="s">
        <v>1115</v>
      </c>
      <c r="D698" t="s">
        <v>1120</v>
      </c>
      <c r="E698">
        <v>78.22</v>
      </c>
      <c r="F698">
        <v>462898</v>
      </c>
      <c r="G698" t="s">
        <v>1132</v>
      </c>
      <c r="H698" t="s">
        <v>1133</v>
      </c>
    </row>
    <row r="699" spans="1:8" x14ac:dyDescent="0.25">
      <c r="A699" t="s">
        <v>43</v>
      </c>
      <c r="B699" t="s">
        <v>805</v>
      </c>
      <c r="C699" t="s">
        <v>1116</v>
      </c>
      <c r="D699" t="s">
        <v>1119</v>
      </c>
      <c r="E699">
        <v>68.709999999999994</v>
      </c>
      <c r="F699">
        <v>255571</v>
      </c>
      <c r="G699" t="s">
        <v>1132</v>
      </c>
      <c r="H699" t="s">
        <v>1133</v>
      </c>
    </row>
    <row r="700" spans="1:8" x14ac:dyDescent="0.25">
      <c r="A700" t="s">
        <v>36</v>
      </c>
      <c r="B700" t="s">
        <v>806</v>
      </c>
      <c r="C700" t="s">
        <v>1117</v>
      </c>
      <c r="D700" t="s">
        <v>1121</v>
      </c>
      <c r="E700">
        <v>95.3</v>
      </c>
      <c r="F700">
        <v>951631</v>
      </c>
      <c r="G700" t="s">
        <v>1129</v>
      </c>
      <c r="H700" t="s">
        <v>1133</v>
      </c>
    </row>
    <row r="701" spans="1:8" x14ac:dyDescent="0.25">
      <c r="A701" t="s">
        <v>91</v>
      </c>
      <c r="B701" t="s">
        <v>807</v>
      </c>
      <c r="C701" t="s">
        <v>1109</v>
      </c>
      <c r="D701" t="s">
        <v>1122</v>
      </c>
      <c r="E701">
        <v>46.33</v>
      </c>
      <c r="F701">
        <v>636540</v>
      </c>
      <c r="G701" t="s">
        <v>1130</v>
      </c>
      <c r="H701" t="s">
        <v>1133</v>
      </c>
    </row>
    <row r="702" spans="1:8" x14ac:dyDescent="0.25">
      <c r="A702" t="s">
        <v>22</v>
      </c>
      <c r="B702" t="s">
        <v>808</v>
      </c>
      <c r="C702" t="s">
        <v>1111</v>
      </c>
      <c r="D702" t="s">
        <v>1122</v>
      </c>
      <c r="E702">
        <v>43.17</v>
      </c>
      <c r="F702">
        <v>852573</v>
      </c>
      <c r="G702" t="s">
        <v>1129</v>
      </c>
      <c r="H702" t="s">
        <v>1133</v>
      </c>
    </row>
    <row r="703" spans="1:8" x14ac:dyDescent="0.25">
      <c r="A703" t="s">
        <v>33</v>
      </c>
      <c r="B703" t="s">
        <v>809</v>
      </c>
      <c r="C703" t="s">
        <v>1116</v>
      </c>
      <c r="D703" t="s">
        <v>1123</v>
      </c>
      <c r="E703">
        <v>96.66</v>
      </c>
      <c r="F703">
        <v>561652</v>
      </c>
      <c r="G703" t="s">
        <v>1132</v>
      </c>
      <c r="H703" t="s">
        <v>1133</v>
      </c>
    </row>
    <row r="704" spans="1:8" x14ac:dyDescent="0.25">
      <c r="A704" t="s">
        <v>35</v>
      </c>
      <c r="B704" t="s">
        <v>810</v>
      </c>
      <c r="C704" t="s">
        <v>1114</v>
      </c>
      <c r="D704" t="s">
        <v>1122</v>
      </c>
      <c r="E704">
        <v>54.67</v>
      </c>
      <c r="F704">
        <v>710724</v>
      </c>
      <c r="G704" t="s">
        <v>1129</v>
      </c>
      <c r="H704" t="s">
        <v>1133</v>
      </c>
    </row>
    <row r="705" spans="1:8" x14ac:dyDescent="0.25">
      <c r="A705" t="s">
        <v>95</v>
      </c>
      <c r="B705" t="s">
        <v>811</v>
      </c>
      <c r="C705" t="s">
        <v>1115</v>
      </c>
      <c r="D705" t="s">
        <v>1121</v>
      </c>
      <c r="E705">
        <v>84.44</v>
      </c>
      <c r="F705">
        <v>966132</v>
      </c>
      <c r="G705" t="s">
        <v>1129</v>
      </c>
      <c r="H705" t="s">
        <v>1133</v>
      </c>
    </row>
    <row r="706" spans="1:8" x14ac:dyDescent="0.25">
      <c r="A706" t="s">
        <v>51</v>
      </c>
      <c r="B706" t="s">
        <v>812</v>
      </c>
      <c r="C706" t="s">
        <v>1110</v>
      </c>
      <c r="D706" t="s">
        <v>1123</v>
      </c>
      <c r="E706">
        <v>94.42</v>
      </c>
      <c r="F706">
        <v>477748</v>
      </c>
      <c r="G706" t="s">
        <v>1128</v>
      </c>
      <c r="H706" t="s">
        <v>1133</v>
      </c>
    </row>
    <row r="707" spans="1:8" x14ac:dyDescent="0.25">
      <c r="A707" t="s">
        <v>71</v>
      </c>
      <c r="B707" t="s">
        <v>813</v>
      </c>
      <c r="C707" t="s">
        <v>1112</v>
      </c>
      <c r="D707" t="s">
        <v>1123</v>
      </c>
      <c r="E707">
        <v>37.64</v>
      </c>
      <c r="F707">
        <v>146347</v>
      </c>
      <c r="G707" t="s">
        <v>1132</v>
      </c>
      <c r="H707" t="s">
        <v>1134</v>
      </c>
    </row>
    <row r="708" spans="1:8" x14ac:dyDescent="0.25">
      <c r="A708" t="s">
        <v>66</v>
      </c>
      <c r="B708" t="s">
        <v>814</v>
      </c>
      <c r="C708" t="s">
        <v>1109</v>
      </c>
      <c r="D708" t="s">
        <v>1124</v>
      </c>
      <c r="E708">
        <v>83.67</v>
      </c>
      <c r="F708">
        <v>230942</v>
      </c>
      <c r="G708" t="s">
        <v>1128</v>
      </c>
      <c r="H708" t="s">
        <v>1133</v>
      </c>
    </row>
    <row r="709" spans="1:8" x14ac:dyDescent="0.25">
      <c r="A709" t="s">
        <v>19</v>
      </c>
      <c r="B709" t="s">
        <v>815</v>
      </c>
      <c r="C709" t="s">
        <v>1111</v>
      </c>
      <c r="D709" t="s">
        <v>1124</v>
      </c>
      <c r="E709">
        <v>98.05</v>
      </c>
      <c r="F709">
        <v>546606</v>
      </c>
      <c r="G709" t="s">
        <v>1130</v>
      </c>
      <c r="H709" t="s">
        <v>1133</v>
      </c>
    </row>
    <row r="710" spans="1:8" x14ac:dyDescent="0.25">
      <c r="A710" t="s">
        <v>15</v>
      </c>
      <c r="B710" t="s">
        <v>816</v>
      </c>
      <c r="C710" t="s">
        <v>1116</v>
      </c>
      <c r="D710" t="s">
        <v>1125</v>
      </c>
      <c r="E710">
        <v>59</v>
      </c>
      <c r="F710">
        <v>610852</v>
      </c>
      <c r="G710" t="s">
        <v>1130</v>
      </c>
      <c r="H710" t="s">
        <v>1133</v>
      </c>
    </row>
    <row r="711" spans="1:8" x14ac:dyDescent="0.25">
      <c r="A711" t="s">
        <v>75</v>
      </c>
      <c r="B711" t="s">
        <v>817</v>
      </c>
      <c r="C711" t="s">
        <v>1117</v>
      </c>
      <c r="D711" t="s">
        <v>1125</v>
      </c>
      <c r="E711">
        <v>83.41</v>
      </c>
      <c r="F711">
        <v>417900</v>
      </c>
      <c r="G711" t="s">
        <v>1128</v>
      </c>
      <c r="H711" t="s">
        <v>1133</v>
      </c>
    </row>
    <row r="712" spans="1:8" x14ac:dyDescent="0.25">
      <c r="A712" t="s">
        <v>14</v>
      </c>
      <c r="B712" t="s">
        <v>818</v>
      </c>
      <c r="C712" t="s">
        <v>1109</v>
      </c>
      <c r="D712" t="s">
        <v>1127</v>
      </c>
      <c r="E712">
        <v>94.4</v>
      </c>
      <c r="F712">
        <v>975194</v>
      </c>
      <c r="G712" t="s">
        <v>1132</v>
      </c>
      <c r="H712" t="s">
        <v>1133</v>
      </c>
    </row>
    <row r="713" spans="1:8" x14ac:dyDescent="0.25">
      <c r="A713" t="s">
        <v>73</v>
      </c>
      <c r="B713" t="s">
        <v>819</v>
      </c>
      <c r="C713" t="s">
        <v>1116</v>
      </c>
      <c r="D713" t="s">
        <v>1120</v>
      </c>
      <c r="E713">
        <v>74.709999999999994</v>
      </c>
      <c r="F713">
        <v>548718</v>
      </c>
      <c r="G713" t="s">
        <v>1132</v>
      </c>
      <c r="H713" t="s">
        <v>1134</v>
      </c>
    </row>
    <row r="714" spans="1:8" x14ac:dyDescent="0.25">
      <c r="A714" t="s">
        <v>55</v>
      </c>
      <c r="B714" t="s">
        <v>820</v>
      </c>
      <c r="C714" t="s">
        <v>1114</v>
      </c>
      <c r="D714" t="s">
        <v>1127</v>
      </c>
      <c r="E714">
        <v>91.73</v>
      </c>
      <c r="F714">
        <v>739688</v>
      </c>
      <c r="G714" t="s">
        <v>1132</v>
      </c>
      <c r="H714" t="s">
        <v>1133</v>
      </c>
    </row>
    <row r="715" spans="1:8" x14ac:dyDescent="0.25">
      <c r="A715" t="s">
        <v>62</v>
      </c>
      <c r="B715" t="s">
        <v>821</v>
      </c>
      <c r="C715" t="s">
        <v>1113</v>
      </c>
      <c r="D715" t="s">
        <v>1125</v>
      </c>
      <c r="E715">
        <v>76.95</v>
      </c>
      <c r="F715">
        <v>508507</v>
      </c>
      <c r="G715" t="s">
        <v>1131</v>
      </c>
      <c r="H715" t="s">
        <v>1133</v>
      </c>
    </row>
    <row r="716" spans="1:8" x14ac:dyDescent="0.25">
      <c r="A716" t="s">
        <v>92</v>
      </c>
      <c r="B716" t="s">
        <v>822</v>
      </c>
      <c r="C716" t="s">
        <v>1116</v>
      </c>
      <c r="D716" t="s">
        <v>1121</v>
      </c>
      <c r="E716">
        <v>91.68</v>
      </c>
      <c r="F716">
        <v>869916</v>
      </c>
      <c r="G716" t="s">
        <v>1132</v>
      </c>
      <c r="H716" t="s">
        <v>1134</v>
      </c>
    </row>
    <row r="717" spans="1:8" x14ac:dyDescent="0.25">
      <c r="A717" t="s">
        <v>24</v>
      </c>
      <c r="B717" t="s">
        <v>823</v>
      </c>
      <c r="C717" t="s">
        <v>1117</v>
      </c>
      <c r="D717" t="s">
        <v>1122</v>
      </c>
      <c r="E717">
        <v>53.1</v>
      </c>
      <c r="F717">
        <v>737109</v>
      </c>
      <c r="G717" t="s">
        <v>1132</v>
      </c>
      <c r="H717" t="s">
        <v>1133</v>
      </c>
    </row>
    <row r="718" spans="1:8" x14ac:dyDescent="0.25">
      <c r="A718" t="s">
        <v>59</v>
      </c>
      <c r="B718" t="s">
        <v>824</v>
      </c>
      <c r="C718" t="s">
        <v>1108</v>
      </c>
      <c r="D718" t="s">
        <v>1121</v>
      </c>
      <c r="E718">
        <v>85.66</v>
      </c>
      <c r="F718">
        <v>384161</v>
      </c>
      <c r="G718" t="s">
        <v>1132</v>
      </c>
      <c r="H718" t="s">
        <v>1133</v>
      </c>
    </row>
    <row r="719" spans="1:8" x14ac:dyDescent="0.25">
      <c r="A719" t="s">
        <v>32</v>
      </c>
      <c r="B719" t="s">
        <v>825</v>
      </c>
      <c r="C719" t="s">
        <v>1116</v>
      </c>
      <c r="D719" t="s">
        <v>1127</v>
      </c>
      <c r="E719">
        <v>62.15</v>
      </c>
      <c r="F719">
        <v>829000</v>
      </c>
      <c r="G719" t="s">
        <v>1128</v>
      </c>
      <c r="H719" t="s">
        <v>1133</v>
      </c>
    </row>
    <row r="720" spans="1:8" x14ac:dyDescent="0.25">
      <c r="A720" t="s">
        <v>35</v>
      </c>
      <c r="B720" t="s">
        <v>826</v>
      </c>
      <c r="C720" t="s">
        <v>1113</v>
      </c>
      <c r="D720" t="s">
        <v>1120</v>
      </c>
      <c r="E720">
        <v>56.16</v>
      </c>
      <c r="F720">
        <v>384505</v>
      </c>
      <c r="G720" t="s">
        <v>1132</v>
      </c>
      <c r="H720" t="s">
        <v>1133</v>
      </c>
    </row>
    <row r="721" spans="1:8" x14ac:dyDescent="0.25">
      <c r="A721" t="s">
        <v>34</v>
      </c>
      <c r="B721" t="s">
        <v>827</v>
      </c>
      <c r="C721" t="s">
        <v>1109</v>
      </c>
      <c r="D721" t="s">
        <v>1119</v>
      </c>
      <c r="E721">
        <v>38.29</v>
      </c>
      <c r="F721">
        <v>470034</v>
      </c>
      <c r="G721" t="s">
        <v>1132</v>
      </c>
      <c r="H721" t="s">
        <v>1134</v>
      </c>
    </row>
    <row r="722" spans="1:8" x14ac:dyDescent="0.25">
      <c r="A722" t="s">
        <v>35</v>
      </c>
      <c r="B722" t="s">
        <v>828</v>
      </c>
      <c r="C722" t="s">
        <v>1115</v>
      </c>
      <c r="D722" t="s">
        <v>1119</v>
      </c>
      <c r="E722">
        <v>39.6</v>
      </c>
      <c r="F722">
        <v>110394</v>
      </c>
      <c r="G722" t="s">
        <v>1130</v>
      </c>
      <c r="H722" t="s">
        <v>1133</v>
      </c>
    </row>
    <row r="723" spans="1:8" x14ac:dyDescent="0.25">
      <c r="A723" t="s">
        <v>24</v>
      </c>
      <c r="B723" t="s">
        <v>829</v>
      </c>
      <c r="C723" t="s">
        <v>1111</v>
      </c>
      <c r="D723" t="s">
        <v>1126</v>
      </c>
      <c r="E723">
        <v>39.549999999999997</v>
      </c>
      <c r="F723">
        <v>585452</v>
      </c>
      <c r="G723" t="s">
        <v>1131</v>
      </c>
      <c r="H723" t="s">
        <v>1133</v>
      </c>
    </row>
    <row r="724" spans="1:8" x14ac:dyDescent="0.25">
      <c r="A724" t="s">
        <v>58</v>
      </c>
      <c r="B724" t="s">
        <v>830</v>
      </c>
      <c r="C724" t="s">
        <v>1116</v>
      </c>
      <c r="D724" t="s">
        <v>1124</v>
      </c>
      <c r="E724">
        <v>65.900000000000006</v>
      </c>
      <c r="F724">
        <v>159094</v>
      </c>
      <c r="G724" t="s">
        <v>1130</v>
      </c>
      <c r="H724" t="s">
        <v>1133</v>
      </c>
    </row>
    <row r="725" spans="1:8" x14ac:dyDescent="0.25">
      <c r="A725" t="s">
        <v>96</v>
      </c>
      <c r="B725" t="s">
        <v>831</v>
      </c>
      <c r="C725" t="s">
        <v>1109</v>
      </c>
      <c r="D725" t="s">
        <v>1119</v>
      </c>
      <c r="E725">
        <v>70.86</v>
      </c>
      <c r="F725">
        <v>471380</v>
      </c>
      <c r="G725" t="s">
        <v>1130</v>
      </c>
      <c r="H725" t="s">
        <v>1133</v>
      </c>
    </row>
    <row r="726" spans="1:8" x14ac:dyDescent="0.25">
      <c r="A726" t="s">
        <v>29</v>
      </c>
      <c r="B726" t="s">
        <v>832</v>
      </c>
      <c r="C726" t="s">
        <v>1113</v>
      </c>
      <c r="D726" t="s">
        <v>1120</v>
      </c>
      <c r="E726">
        <v>96.52</v>
      </c>
      <c r="F726">
        <v>144617</v>
      </c>
      <c r="G726" t="s">
        <v>1130</v>
      </c>
      <c r="H726" t="s">
        <v>1133</v>
      </c>
    </row>
    <row r="727" spans="1:8" x14ac:dyDescent="0.25">
      <c r="A727" t="s">
        <v>105</v>
      </c>
      <c r="B727" t="s">
        <v>833</v>
      </c>
      <c r="C727" t="s">
        <v>1111</v>
      </c>
      <c r="D727" t="s">
        <v>1127</v>
      </c>
      <c r="E727">
        <v>98.71</v>
      </c>
      <c r="F727">
        <v>394084</v>
      </c>
      <c r="G727" t="s">
        <v>1131</v>
      </c>
      <c r="H727" t="s">
        <v>1133</v>
      </c>
    </row>
    <row r="728" spans="1:8" x14ac:dyDescent="0.25">
      <c r="A728" t="s">
        <v>107</v>
      </c>
      <c r="B728" t="s">
        <v>834</v>
      </c>
      <c r="C728" t="s">
        <v>1117</v>
      </c>
      <c r="D728" t="s">
        <v>1122</v>
      </c>
      <c r="E728">
        <v>51.98</v>
      </c>
      <c r="F728">
        <v>998507</v>
      </c>
      <c r="G728" t="s">
        <v>1131</v>
      </c>
      <c r="H728" t="s">
        <v>1133</v>
      </c>
    </row>
    <row r="729" spans="1:8" x14ac:dyDescent="0.25">
      <c r="A729" t="s">
        <v>77</v>
      </c>
      <c r="B729" t="s">
        <v>835</v>
      </c>
      <c r="C729" t="s">
        <v>1117</v>
      </c>
      <c r="D729" t="s">
        <v>1119</v>
      </c>
      <c r="E729">
        <v>67.62</v>
      </c>
      <c r="F729">
        <v>612945</v>
      </c>
      <c r="G729" t="s">
        <v>1131</v>
      </c>
      <c r="H729" t="s">
        <v>1134</v>
      </c>
    </row>
    <row r="730" spans="1:8" x14ac:dyDescent="0.25">
      <c r="A730" t="s">
        <v>86</v>
      </c>
      <c r="B730" t="s">
        <v>836</v>
      </c>
      <c r="C730" t="s">
        <v>1113</v>
      </c>
      <c r="D730" t="s">
        <v>1124</v>
      </c>
      <c r="E730">
        <v>90.59</v>
      </c>
      <c r="F730">
        <v>939008</v>
      </c>
      <c r="G730" t="s">
        <v>1129</v>
      </c>
      <c r="H730" t="s">
        <v>1133</v>
      </c>
    </row>
    <row r="731" spans="1:8" x14ac:dyDescent="0.25">
      <c r="A731" t="s">
        <v>58</v>
      </c>
      <c r="B731" t="s">
        <v>837</v>
      </c>
      <c r="C731" t="s">
        <v>1108</v>
      </c>
      <c r="D731" t="s">
        <v>1119</v>
      </c>
      <c r="E731">
        <v>71.430000000000007</v>
      </c>
      <c r="F731">
        <v>675619</v>
      </c>
      <c r="G731" t="s">
        <v>1131</v>
      </c>
      <c r="H731" t="s">
        <v>1133</v>
      </c>
    </row>
    <row r="732" spans="1:8" x14ac:dyDescent="0.25">
      <c r="A732" t="s">
        <v>67</v>
      </c>
      <c r="B732" t="s">
        <v>838</v>
      </c>
      <c r="C732" t="s">
        <v>1113</v>
      </c>
      <c r="D732" t="s">
        <v>1125</v>
      </c>
      <c r="E732">
        <v>64.790000000000006</v>
      </c>
      <c r="F732">
        <v>572582</v>
      </c>
      <c r="G732" t="s">
        <v>1132</v>
      </c>
      <c r="H732" t="s">
        <v>1133</v>
      </c>
    </row>
    <row r="733" spans="1:8" x14ac:dyDescent="0.25">
      <c r="A733" t="s">
        <v>26</v>
      </c>
      <c r="B733" t="s">
        <v>839</v>
      </c>
      <c r="C733" t="s">
        <v>1116</v>
      </c>
      <c r="D733" t="s">
        <v>1119</v>
      </c>
      <c r="E733">
        <v>99.86</v>
      </c>
      <c r="F733">
        <v>354332</v>
      </c>
      <c r="G733" t="s">
        <v>1130</v>
      </c>
      <c r="H733" t="s">
        <v>1133</v>
      </c>
    </row>
    <row r="734" spans="1:8" x14ac:dyDescent="0.25">
      <c r="A734" t="s">
        <v>105</v>
      </c>
      <c r="B734" t="s">
        <v>840</v>
      </c>
      <c r="C734" t="s">
        <v>1109</v>
      </c>
      <c r="D734" t="s">
        <v>1118</v>
      </c>
      <c r="E734">
        <v>49.63</v>
      </c>
      <c r="F734">
        <v>126750</v>
      </c>
      <c r="G734" t="s">
        <v>1132</v>
      </c>
      <c r="H734" t="s">
        <v>1133</v>
      </c>
    </row>
    <row r="735" spans="1:8" x14ac:dyDescent="0.25">
      <c r="A735" t="s">
        <v>9</v>
      </c>
      <c r="B735" t="s">
        <v>841</v>
      </c>
      <c r="C735" t="s">
        <v>1113</v>
      </c>
      <c r="D735" t="s">
        <v>1126</v>
      </c>
      <c r="E735">
        <v>45.55</v>
      </c>
      <c r="F735">
        <v>682353</v>
      </c>
      <c r="G735" t="s">
        <v>1128</v>
      </c>
      <c r="H735" t="s">
        <v>1133</v>
      </c>
    </row>
    <row r="736" spans="1:8" x14ac:dyDescent="0.25">
      <c r="A736" t="s">
        <v>8</v>
      </c>
      <c r="B736" t="s">
        <v>842</v>
      </c>
      <c r="C736" t="s">
        <v>1112</v>
      </c>
      <c r="D736" t="s">
        <v>1122</v>
      </c>
      <c r="E736">
        <v>47.02</v>
      </c>
      <c r="F736">
        <v>738803</v>
      </c>
      <c r="G736" t="s">
        <v>1132</v>
      </c>
      <c r="H736" t="s">
        <v>1134</v>
      </c>
    </row>
    <row r="737" spans="1:8" x14ac:dyDescent="0.25">
      <c r="A737" t="s">
        <v>33</v>
      </c>
      <c r="B737" t="s">
        <v>843</v>
      </c>
      <c r="C737" t="s">
        <v>1108</v>
      </c>
      <c r="D737" t="s">
        <v>1125</v>
      </c>
      <c r="E737">
        <v>69.33</v>
      </c>
      <c r="F737">
        <v>678898</v>
      </c>
      <c r="G737" t="s">
        <v>1132</v>
      </c>
      <c r="H737" t="s">
        <v>1134</v>
      </c>
    </row>
    <row r="738" spans="1:8" x14ac:dyDescent="0.25">
      <c r="A738" t="s">
        <v>32</v>
      </c>
      <c r="B738" t="s">
        <v>844</v>
      </c>
      <c r="C738" t="s">
        <v>1116</v>
      </c>
      <c r="D738" t="s">
        <v>1120</v>
      </c>
      <c r="E738">
        <v>98.51</v>
      </c>
      <c r="F738">
        <v>321598</v>
      </c>
      <c r="G738" t="s">
        <v>1130</v>
      </c>
      <c r="H738" t="s">
        <v>1134</v>
      </c>
    </row>
    <row r="739" spans="1:8" x14ac:dyDescent="0.25">
      <c r="A739" t="s">
        <v>98</v>
      </c>
      <c r="B739" t="s">
        <v>845</v>
      </c>
      <c r="C739" t="s">
        <v>1113</v>
      </c>
      <c r="D739" t="s">
        <v>1123</v>
      </c>
      <c r="E739">
        <v>87.71</v>
      </c>
      <c r="F739">
        <v>352518</v>
      </c>
      <c r="G739" t="s">
        <v>1132</v>
      </c>
      <c r="H739" t="s">
        <v>1133</v>
      </c>
    </row>
    <row r="740" spans="1:8" x14ac:dyDescent="0.25">
      <c r="A740" t="s">
        <v>77</v>
      </c>
      <c r="B740" t="s">
        <v>846</v>
      </c>
      <c r="C740" t="s">
        <v>1113</v>
      </c>
      <c r="D740" t="s">
        <v>1124</v>
      </c>
      <c r="E740">
        <v>60.11</v>
      </c>
      <c r="F740">
        <v>711068</v>
      </c>
      <c r="G740" t="s">
        <v>1132</v>
      </c>
      <c r="H740" t="s">
        <v>1134</v>
      </c>
    </row>
    <row r="741" spans="1:8" x14ac:dyDescent="0.25">
      <c r="A741" t="s">
        <v>82</v>
      </c>
      <c r="B741" t="s">
        <v>847</v>
      </c>
      <c r="C741" t="s">
        <v>1116</v>
      </c>
      <c r="D741" t="s">
        <v>1123</v>
      </c>
      <c r="E741">
        <v>50.36</v>
      </c>
      <c r="F741">
        <v>984138</v>
      </c>
      <c r="G741" t="s">
        <v>1129</v>
      </c>
      <c r="H741" t="s">
        <v>1133</v>
      </c>
    </row>
    <row r="742" spans="1:8" x14ac:dyDescent="0.25">
      <c r="A742" t="s">
        <v>22</v>
      </c>
      <c r="B742" t="s">
        <v>848</v>
      </c>
      <c r="C742" t="s">
        <v>1115</v>
      </c>
      <c r="D742" t="s">
        <v>1124</v>
      </c>
      <c r="E742">
        <v>88.78</v>
      </c>
      <c r="F742">
        <v>137098</v>
      </c>
      <c r="G742" t="s">
        <v>1130</v>
      </c>
      <c r="H742" t="s">
        <v>1134</v>
      </c>
    </row>
    <row r="743" spans="1:8" x14ac:dyDescent="0.25">
      <c r="A743" t="s">
        <v>27</v>
      </c>
      <c r="B743" t="s">
        <v>849</v>
      </c>
      <c r="C743" t="s">
        <v>1116</v>
      </c>
      <c r="D743" t="s">
        <v>1121</v>
      </c>
      <c r="E743">
        <v>52.07</v>
      </c>
      <c r="F743">
        <v>953997</v>
      </c>
      <c r="G743" t="s">
        <v>1132</v>
      </c>
      <c r="H743" t="s">
        <v>1133</v>
      </c>
    </row>
    <row r="744" spans="1:8" x14ac:dyDescent="0.25">
      <c r="A744" t="s">
        <v>60</v>
      </c>
      <c r="B744" t="s">
        <v>850</v>
      </c>
      <c r="C744" t="s">
        <v>1110</v>
      </c>
      <c r="D744" t="s">
        <v>1123</v>
      </c>
      <c r="E744">
        <v>67.599999999999994</v>
      </c>
      <c r="F744">
        <v>386464</v>
      </c>
      <c r="G744" t="s">
        <v>1129</v>
      </c>
      <c r="H744" t="s">
        <v>1133</v>
      </c>
    </row>
    <row r="745" spans="1:8" x14ac:dyDescent="0.25">
      <c r="A745" t="s">
        <v>11</v>
      </c>
      <c r="B745" t="s">
        <v>851</v>
      </c>
      <c r="C745" t="s">
        <v>1117</v>
      </c>
      <c r="D745" t="s">
        <v>1124</v>
      </c>
      <c r="E745">
        <v>53.95</v>
      </c>
      <c r="F745">
        <v>593940</v>
      </c>
      <c r="G745" t="s">
        <v>1130</v>
      </c>
      <c r="H745" t="s">
        <v>1133</v>
      </c>
    </row>
    <row r="746" spans="1:8" x14ac:dyDescent="0.25">
      <c r="A746" t="s">
        <v>77</v>
      </c>
      <c r="B746" t="s">
        <v>852</v>
      </c>
      <c r="C746" t="s">
        <v>1117</v>
      </c>
      <c r="D746" t="s">
        <v>1126</v>
      </c>
      <c r="E746">
        <v>76.08</v>
      </c>
      <c r="F746">
        <v>541177</v>
      </c>
      <c r="G746" t="s">
        <v>1130</v>
      </c>
      <c r="H746" t="s">
        <v>1133</v>
      </c>
    </row>
    <row r="747" spans="1:8" x14ac:dyDescent="0.25">
      <c r="A747" t="s">
        <v>33</v>
      </c>
      <c r="B747" t="s">
        <v>853</v>
      </c>
      <c r="C747" t="s">
        <v>1111</v>
      </c>
      <c r="D747" t="s">
        <v>1121</v>
      </c>
      <c r="E747">
        <v>63.22</v>
      </c>
      <c r="F747">
        <v>158477</v>
      </c>
      <c r="G747" t="s">
        <v>1131</v>
      </c>
      <c r="H747" t="s">
        <v>1133</v>
      </c>
    </row>
    <row r="748" spans="1:8" x14ac:dyDescent="0.25">
      <c r="A748" t="s">
        <v>62</v>
      </c>
      <c r="B748" t="s">
        <v>854</v>
      </c>
      <c r="C748" t="s">
        <v>1110</v>
      </c>
      <c r="D748" t="s">
        <v>1121</v>
      </c>
      <c r="E748">
        <v>84.36</v>
      </c>
      <c r="F748">
        <v>520101</v>
      </c>
      <c r="G748" t="s">
        <v>1131</v>
      </c>
      <c r="H748" t="s">
        <v>1133</v>
      </c>
    </row>
    <row r="749" spans="1:8" x14ac:dyDescent="0.25">
      <c r="A749" t="s">
        <v>89</v>
      </c>
      <c r="B749" t="s">
        <v>855</v>
      </c>
      <c r="C749" t="s">
        <v>1115</v>
      </c>
      <c r="D749" t="s">
        <v>1123</v>
      </c>
      <c r="E749">
        <v>37.78</v>
      </c>
      <c r="F749">
        <v>737829</v>
      </c>
      <c r="G749" t="s">
        <v>1129</v>
      </c>
      <c r="H749" t="s">
        <v>1133</v>
      </c>
    </row>
    <row r="750" spans="1:8" x14ac:dyDescent="0.25">
      <c r="A750" t="s">
        <v>23</v>
      </c>
      <c r="B750" t="s">
        <v>856</v>
      </c>
      <c r="C750" t="s">
        <v>1108</v>
      </c>
      <c r="D750" t="s">
        <v>1127</v>
      </c>
      <c r="E750">
        <v>36.64</v>
      </c>
      <c r="F750">
        <v>204251</v>
      </c>
      <c r="G750" t="s">
        <v>1131</v>
      </c>
      <c r="H750" t="s">
        <v>1133</v>
      </c>
    </row>
    <row r="751" spans="1:8" x14ac:dyDescent="0.25">
      <c r="A751" t="s">
        <v>62</v>
      </c>
      <c r="B751" t="s">
        <v>857</v>
      </c>
      <c r="C751" t="s">
        <v>1117</v>
      </c>
      <c r="D751" t="s">
        <v>1120</v>
      </c>
      <c r="E751">
        <v>47.28</v>
      </c>
      <c r="F751">
        <v>949442</v>
      </c>
      <c r="G751" t="s">
        <v>1131</v>
      </c>
      <c r="H751" t="s">
        <v>1133</v>
      </c>
    </row>
    <row r="752" spans="1:8" x14ac:dyDescent="0.25">
      <c r="A752" t="s">
        <v>57</v>
      </c>
      <c r="B752" t="s">
        <v>858</v>
      </c>
      <c r="C752" t="s">
        <v>1113</v>
      </c>
      <c r="D752" t="s">
        <v>1118</v>
      </c>
      <c r="E752">
        <v>76.41</v>
      </c>
      <c r="F752">
        <v>896925</v>
      </c>
      <c r="G752" t="s">
        <v>1128</v>
      </c>
      <c r="H752" t="s">
        <v>1134</v>
      </c>
    </row>
    <row r="753" spans="1:8" x14ac:dyDescent="0.25">
      <c r="A753" t="s">
        <v>14</v>
      </c>
      <c r="B753" t="s">
        <v>859</v>
      </c>
      <c r="C753" t="s">
        <v>1109</v>
      </c>
      <c r="D753" t="s">
        <v>1124</v>
      </c>
      <c r="E753">
        <v>61.34</v>
      </c>
      <c r="F753">
        <v>403044</v>
      </c>
      <c r="G753" t="s">
        <v>1129</v>
      </c>
      <c r="H753" t="s">
        <v>1133</v>
      </c>
    </row>
    <row r="754" spans="1:8" x14ac:dyDescent="0.25">
      <c r="A754" t="s">
        <v>92</v>
      </c>
      <c r="B754" t="s">
        <v>860</v>
      </c>
      <c r="C754" t="s">
        <v>1116</v>
      </c>
      <c r="D754" t="s">
        <v>1118</v>
      </c>
      <c r="E754">
        <v>56.41</v>
      </c>
      <c r="F754">
        <v>858252</v>
      </c>
      <c r="G754" t="s">
        <v>1129</v>
      </c>
      <c r="H754" t="s">
        <v>1133</v>
      </c>
    </row>
    <row r="755" spans="1:8" x14ac:dyDescent="0.25">
      <c r="A755" t="s">
        <v>33</v>
      </c>
      <c r="B755" t="s">
        <v>861</v>
      </c>
      <c r="C755" t="s">
        <v>1109</v>
      </c>
      <c r="D755" t="s">
        <v>1125</v>
      </c>
      <c r="E755">
        <v>78.02</v>
      </c>
      <c r="F755">
        <v>395224</v>
      </c>
      <c r="G755" t="s">
        <v>1130</v>
      </c>
      <c r="H755" t="s">
        <v>1134</v>
      </c>
    </row>
    <row r="756" spans="1:8" x14ac:dyDescent="0.25">
      <c r="A756" t="s">
        <v>20</v>
      </c>
      <c r="B756" t="s">
        <v>862</v>
      </c>
      <c r="C756" t="s">
        <v>1111</v>
      </c>
      <c r="D756" t="s">
        <v>1125</v>
      </c>
      <c r="E756">
        <v>99.65</v>
      </c>
      <c r="F756">
        <v>631828</v>
      </c>
      <c r="G756" t="s">
        <v>1131</v>
      </c>
      <c r="H756" t="s">
        <v>1134</v>
      </c>
    </row>
    <row r="757" spans="1:8" x14ac:dyDescent="0.25">
      <c r="A757" t="s">
        <v>13</v>
      </c>
      <c r="B757" t="s">
        <v>863</v>
      </c>
      <c r="C757" t="s">
        <v>1110</v>
      </c>
      <c r="D757" t="s">
        <v>1126</v>
      </c>
      <c r="E757">
        <v>97.44</v>
      </c>
      <c r="F757">
        <v>637665</v>
      </c>
      <c r="G757" t="s">
        <v>1131</v>
      </c>
      <c r="H757" t="s">
        <v>1134</v>
      </c>
    </row>
    <row r="758" spans="1:8" x14ac:dyDescent="0.25">
      <c r="A758" t="s">
        <v>84</v>
      </c>
      <c r="B758" t="s">
        <v>864</v>
      </c>
      <c r="C758" t="s">
        <v>1114</v>
      </c>
      <c r="D758" t="s">
        <v>1125</v>
      </c>
      <c r="E758">
        <v>82.87</v>
      </c>
      <c r="F758">
        <v>883100</v>
      </c>
      <c r="G758" t="s">
        <v>1129</v>
      </c>
      <c r="H758" t="s">
        <v>1133</v>
      </c>
    </row>
    <row r="759" spans="1:8" x14ac:dyDescent="0.25">
      <c r="A759" t="s">
        <v>104</v>
      </c>
      <c r="B759" t="s">
        <v>865</v>
      </c>
      <c r="C759" t="s">
        <v>1115</v>
      </c>
      <c r="D759" t="s">
        <v>1123</v>
      </c>
      <c r="E759">
        <v>48.5</v>
      </c>
      <c r="F759">
        <v>787802</v>
      </c>
      <c r="G759" t="s">
        <v>1128</v>
      </c>
      <c r="H759" t="s">
        <v>1133</v>
      </c>
    </row>
    <row r="760" spans="1:8" x14ac:dyDescent="0.25">
      <c r="A760" t="s">
        <v>11</v>
      </c>
      <c r="B760" t="s">
        <v>866</v>
      </c>
      <c r="C760" t="s">
        <v>1116</v>
      </c>
      <c r="D760" t="s">
        <v>1125</v>
      </c>
      <c r="E760">
        <v>82.17</v>
      </c>
      <c r="F760">
        <v>779948</v>
      </c>
      <c r="G760" t="s">
        <v>1130</v>
      </c>
      <c r="H760" t="s">
        <v>1134</v>
      </c>
    </row>
    <row r="761" spans="1:8" x14ac:dyDescent="0.25">
      <c r="A761" t="s">
        <v>100</v>
      </c>
      <c r="B761" t="s">
        <v>867</v>
      </c>
      <c r="C761" t="s">
        <v>1114</v>
      </c>
      <c r="D761" t="s">
        <v>1123</v>
      </c>
      <c r="E761">
        <v>92.39</v>
      </c>
      <c r="F761">
        <v>851564</v>
      </c>
      <c r="G761" t="s">
        <v>1128</v>
      </c>
      <c r="H761" t="s">
        <v>1134</v>
      </c>
    </row>
    <row r="762" spans="1:8" x14ac:dyDescent="0.25">
      <c r="A762" t="s">
        <v>20</v>
      </c>
      <c r="B762" t="s">
        <v>868</v>
      </c>
      <c r="C762" t="s">
        <v>1116</v>
      </c>
      <c r="D762" t="s">
        <v>1122</v>
      </c>
      <c r="E762">
        <v>76.53</v>
      </c>
      <c r="F762">
        <v>822614</v>
      </c>
      <c r="G762" t="s">
        <v>1131</v>
      </c>
      <c r="H762" t="s">
        <v>1134</v>
      </c>
    </row>
    <row r="763" spans="1:8" x14ac:dyDescent="0.25">
      <c r="A763" t="s">
        <v>27</v>
      </c>
      <c r="B763" t="s">
        <v>869</v>
      </c>
      <c r="C763" t="s">
        <v>1111</v>
      </c>
      <c r="D763" t="s">
        <v>1120</v>
      </c>
      <c r="E763">
        <v>50.72</v>
      </c>
      <c r="F763">
        <v>744542</v>
      </c>
      <c r="G763" t="s">
        <v>1129</v>
      </c>
      <c r="H763" t="s">
        <v>1133</v>
      </c>
    </row>
    <row r="764" spans="1:8" x14ac:dyDescent="0.25">
      <c r="A764" t="s">
        <v>66</v>
      </c>
      <c r="B764" t="s">
        <v>870</v>
      </c>
      <c r="C764" t="s">
        <v>1114</v>
      </c>
      <c r="D764" t="s">
        <v>1125</v>
      </c>
      <c r="E764">
        <v>48.57</v>
      </c>
      <c r="F764">
        <v>804800</v>
      </c>
      <c r="G764" t="s">
        <v>1131</v>
      </c>
      <c r="H764" t="s">
        <v>1133</v>
      </c>
    </row>
    <row r="765" spans="1:8" x14ac:dyDescent="0.25">
      <c r="A765" t="s">
        <v>69</v>
      </c>
      <c r="B765" t="s">
        <v>871</v>
      </c>
      <c r="C765" t="s">
        <v>1117</v>
      </c>
      <c r="D765" t="s">
        <v>1125</v>
      </c>
      <c r="E765">
        <v>58.76</v>
      </c>
      <c r="F765">
        <v>365051</v>
      </c>
      <c r="G765" t="s">
        <v>1129</v>
      </c>
      <c r="H765" t="s">
        <v>1133</v>
      </c>
    </row>
    <row r="766" spans="1:8" x14ac:dyDescent="0.25">
      <c r="A766" t="s">
        <v>28</v>
      </c>
      <c r="B766" t="s">
        <v>872</v>
      </c>
      <c r="C766" t="s">
        <v>1114</v>
      </c>
      <c r="D766" t="s">
        <v>1123</v>
      </c>
      <c r="E766">
        <v>64.95</v>
      </c>
      <c r="F766">
        <v>732553</v>
      </c>
      <c r="G766" t="s">
        <v>1129</v>
      </c>
      <c r="H766" t="s">
        <v>1134</v>
      </c>
    </row>
    <row r="767" spans="1:8" x14ac:dyDescent="0.25">
      <c r="A767" t="s">
        <v>15</v>
      </c>
      <c r="B767" t="s">
        <v>873</v>
      </c>
      <c r="C767" t="s">
        <v>1110</v>
      </c>
      <c r="D767" t="s">
        <v>1120</v>
      </c>
      <c r="E767">
        <v>63.64</v>
      </c>
      <c r="F767">
        <v>909452</v>
      </c>
      <c r="G767" t="s">
        <v>1129</v>
      </c>
      <c r="H767" t="s">
        <v>1133</v>
      </c>
    </row>
    <row r="768" spans="1:8" x14ac:dyDescent="0.25">
      <c r="A768" t="s">
        <v>11</v>
      </c>
      <c r="B768" t="s">
        <v>874</v>
      </c>
      <c r="C768" t="s">
        <v>1112</v>
      </c>
      <c r="D768" t="s">
        <v>1123</v>
      </c>
      <c r="E768">
        <v>50.06</v>
      </c>
      <c r="F768">
        <v>808536</v>
      </c>
      <c r="G768" t="s">
        <v>1128</v>
      </c>
      <c r="H768" t="s">
        <v>1133</v>
      </c>
    </row>
    <row r="769" spans="1:8" x14ac:dyDescent="0.25">
      <c r="A769" t="s">
        <v>57</v>
      </c>
      <c r="B769" t="s">
        <v>875</v>
      </c>
      <c r="C769" t="s">
        <v>1113</v>
      </c>
      <c r="D769" t="s">
        <v>1120</v>
      </c>
      <c r="E769">
        <v>87.32</v>
      </c>
      <c r="F769">
        <v>901635</v>
      </c>
      <c r="G769" t="s">
        <v>1130</v>
      </c>
      <c r="H769" t="s">
        <v>1133</v>
      </c>
    </row>
    <row r="770" spans="1:8" x14ac:dyDescent="0.25">
      <c r="A770" t="s">
        <v>62</v>
      </c>
      <c r="B770" t="s">
        <v>876</v>
      </c>
      <c r="C770" t="s">
        <v>1115</v>
      </c>
      <c r="D770" t="s">
        <v>1124</v>
      </c>
      <c r="E770">
        <v>37.409999999999997</v>
      </c>
      <c r="F770">
        <v>243762</v>
      </c>
      <c r="G770" t="s">
        <v>1130</v>
      </c>
      <c r="H770" t="s">
        <v>1133</v>
      </c>
    </row>
    <row r="771" spans="1:8" x14ac:dyDescent="0.25">
      <c r="A771" t="s">
        <v>27</v>
      </c>
      <c r="B771" t="s">
        <v>877</v>
      </c>
      <c r="C771" t="s">
        <v>1116</v>
      </c>
      <c r="D771" t="s">
        <v>1125</v>
      </c>
      <c r="E771">
        <v>98.22</v>
      </c>
      <c r="F771">
        <v>918947</v>
      </c>
      <c r="G771" t="s">
        <v>1131</v>
      </c>
      <c r="H771" t="s">
        <v>1133</v>
      </c>
    </row>
    <row r="772" spans="1:8" x14ac:dyDescent="0.25">
      <c r="A772" t="s">
        <v>60</v>
      </c>
      <c r="B772" t="s">
        <v>878</v>
      </c>
      <c r="C772" t="s">
        <v>1109</v>
      </c>
      <c r="D772" t="s">
        <v>1121</v>
      </c>
      <c r="E772">
        <v>68.11</v>
      </c>
      <c r="F772">
        <v>895310</v>
      </c>
      <c r="G772" t="s">
        <v>1131</v>
      </c>
      <c r="H772" t="s">
        <v>1133</v>
      </c>
    </row>
    <row r="773" spans="1:8" x14ac:dyDescent="0.25">
      <c r="A773" t="s">
        <v>82</v>
      </c>
      <c r="B773" t="s">
        <v>879</v>
      </c>
      <c r="C773" t="s">
        <v>1117</v>
      </c>
      <c r="D773" t="s">
        <v>1119</v>
      </c>
      <c r="E773">
        <v>65.28</v>
      </c>
      <c r="F773">
        <v>752618</v>
      </c>
      <c r="G773" t="s">
        <v>1129</v>
      </c>
      <c r="H773" t="s">
        <v>1134</v>
      </c>
    </row>
    <row r="774" spans="1:8" x14ac:dyDescent="0.25">
      <c r="A774" t="s">
        <v>35</v>
      </c>
      <c r="B774" t="s">
        <v>880</v>
      </c>
      <c r="C774" t="s">
        <v>1108</v>
      </c>
      <c r="D774" t="s">
        <v>1123</v>
      </c>
      <c r="E774">
        <v>53.34</v>
      </c>
      <c r="F774">
        <v>888534</v>
      </c>
      <c r="G774" t="s">
        <v>1130</v>
      </c>
      <c r="H774" t="s">
        <v>1134</v>
      </c>
    </row>
    <row r="775" spans="1:8" x14ac:dyDescent="0.25">
      <c r="A775" t="s">
        <v>94</v>
      </c>
      <c r="B775" t="s">
        <v>881</v>
      </c>
      <c r="C775" t="s">
        <v>1117</v>
      </c>
      <c r="D775" t="s">
        <v>1124</v>
      </c>
      <c r="E775">
        <v>87.83</v>
      </c>
      <c r="F775">
        <v>951612</v>
      </c>
      <c r="G775" t="s">
        <v>1129</v>
      </c>
      <c r="H775" t="s">
        <v>1133</v>
      </c>
    </row>
    <row r="776" spans="1:8" x14ac:dyDescent="0.25">
      <c r="A776" t="s">
        <v>93</v>
      </c>
      <c r="B776" t="s">
        <v>882</v>
      </c>
      <c r="C776" t="s">
        <v>1117</v>
      </c>
      <c r="D776" t="s">
        <v>1126</v>
      </c>
      <c r="E776">
        <v>84.45</v>
      </c>
      <c r="F776">
        <v>575828</v>
      </c>
      <c r="G776" t="s">
        <v>1131</v>
      </c>
      <c r="H776" t="s">
        <v>1133</v>
      </c>
    </row>
    <row r="777" spans="1:8" x14ac:dyDescent="0.25">
      <c r="A777" t="s">
        <v>81</v>
      </c>
      <c r="B777" t="s">
        <v>883</v>
      </c>
      <c r="C777" t="s">
        <v>1115</v>
      </c>
      <c r="D777" t="s">
        <v>1127</v>
      </c>
      <c r="E777">
        <v>80.989999999999995</v>
      </c>
      <c r="F777">
        <v>748275</v>
      </c>
      <c r="G777" t="s">
        <v>1130</v>
      </c>
      <c r="H777" t="s">
        <v>1134</v>
      </c>
    </row>
    <row r="778" spans="1:8" x14ac:dyDescent="0.25">
      <c r="A778" t="s">
        <v>34</v>
      </c>
      <c r="B778" t="s">
        <v>884</v>
      </c>
      <c r="C778" t="s">
        <v>1110</v>
      </c>
      <c r="D778" t="s">
        <v>1118</v>
      </c>
      <c r="E778">
        <v>46.25</v>
      </c>
      <c r="F778">
        <v>864002</v>
      </c>
      <c r="G778" t="s">
        <v>1132</v>
      </c>
      <c r="H778" t="s">
        <v>1133</v>
      </c>
    </row>
    <row r="779" spans="1:8" x14ac:dyDescent="0.25">
      <c r="A779" t="s">
        <v>25</v>
      </c>
      <c r="B779" t="s">
        <v>885</v>
      </c>
      <c r="C779" t="s">
        <v>1115</v>
      </c>
      <c r="D779" t="s">
        <v>1120</v>
      </c>
      <c r="E779">
        <v>66.27</v>
      </c>
      <c r="F779">
        <v>174712</v>
      </c>
      <c r="G779" t="s">
        <v>1130</v>
      </c>
      <c r="H779" t="s">
        <v>1133</v>
      </c>
    </row>
    <row r="780" spans="1:8" x14ac:dyDescent="0.25">
      <c r="A780" t="s">
        <v>25</v>
      </c>
      <c r="B780" t="s">
        <v>886</v>
      </c>
      <c r="C780" t="s">
        <v>1117</v>
      </c>
      <c r="D780" t="s">
        <v>1123</v>
      </c>
      <c r="E780">
        <v>97.08</v>
      </c>
      <c r="F780">
        <v>607895</v>
      </c>
      <c r="G780" t="s">
        <v>1132</v>
      </c>
      <c r="H780" t="s">
        <v>1134</v>
      </c>
    </row>
    <row r="781" spans="1:8" x14ac:dyDescent="0.25">
      <c r="A781" t="s">
        <v>39</v>
      </c>
      <c r="B781" t="s">
        <v>887</v>
      </c>
      <c r="C781" t="s">
        <v>1112</v>
      </c>
      <c r="D781" t="s">
        <v>1126</v>
      </c>
      <c r="E781">
        <v>89.02</v>
      </c>
      <c r="F781">
        <v>667162</v>
      </c>
      <c r="G781" t="s">
        <v>1129</v>
      </c>
      <c r="H781" t="s">
        <v>1133</v>
      </c>
    </row>
    <row r="782" spans="1:8" x14ac:dyDescent="0.25">
      <c r="A782" t="s">
        <v>57</v>
      </c>
      <c r="B782" t="s">
        <v>888</v>
      </c>
      <c r="C782" t="s">
        <v>1116</v>
      </c>
      <c r="D782" t="s">
        <v>1127</v>
      </c>
      <c r="E782">
        <v>74.760000000000005</v>
      </c>
      <c r="F782">
        <v>703983</v>
      </c>
      <c r="G782" t="s">
        <v>1128</v>
      </c>
      <c r="H782" t="s">
        <v>1133</v>
      </c>
    </row>
    <row r="783" spans="1:8" x14ac:dyDescent="0.25">
      <c r="A783" t="s">
        <v>49</v>
      </c>
      <c r="B783" t="s">
        <v>889</v>
      </c>
      <c r="C783" t="s">
        <v>1115</v>
      </c>
      <c r="D783" t="s">
        <v>1122</v>
      </c>
      <c r="E783">
        <v>67.58</v>
      </c>
      <c r="F783">
        <v>609097</v>
      </c>
      <c r="G783" t="s">
        <v>1130</v>
      </c>
      <c r="H783" t="s">
        <v>1133</v>
      </c>
    </row>
    <row r="784" spans="1:8" x14ac:dyDescent="0.25">
      <c r="A784" t="s">
        <v>49</v>
      </c>
      <c r="B784" t="s">
        <v>890</v>
      </c>
      <c r="C784" t="s">
        <v>1115</v>
      </c>
      <c r="D784" t="s">
        <v>1126</v>
      </c>
      <c r="E784">
        <v>90.7</v>
      </c>
      <c r="F784">
        <v>265408</v>
      </c>
      <c r="G784" t="s">
        <v>1129</v>
      </c>
      <c r="H784" t="s">
        <v>1133</v>
      </c>
    </row>
    <row r="785" spans="1:8" x14ac:dyDescent="0.25">
      <c r="A785" t="s">
        <v>77</v>
      </c>
      <c r="B785" t="s">
        <v>891</v>
      </c>
      <c r="C785" t="s">
        <v>1112</v>
      </c>
      <c r="D785" t="s">
        <v>1126</v>
      </c>
      <c r="E785">
        <v>40.96</v>
      </c>
      <c r="F785">
        <v>834495</v>
      </c>
      <c r="G785" t="s">
        <v>1132</v>
      </c>
      <c r="H785" t="s">
        <v>1134</v>
      </c>
    </row>
    <row r="786" spans="1:8" x14ac:dyDescent="0.25">
      <c r="A786" t="s">
        <v>84</v>
      </c>
      <c r="B786" t="s">
        <v>892</v>
      </c>
      <c r="C786" t="s">
        <v>1108</v>
      </c>
      <c r="D786" t="s">
        <v>1126</v>
      </c>
      <c r="E786">
        <v>44.91</v>
      </c>
      <c r="F786">
        <v>363288</v>
      </c>
      <c r="G786" t="s">
        <v>1132</v>
      </c>
      <c r="H786" t="s">
        <v>1133</v>
      </c>
    </row>
    <row r="787" spans="1:8" x14ac:dyDescent="0.25">
      <c r="A787" t="s">
        <v>30</v>
      </c>
      <c r="B787" t="s">
        <v>893</v>
      </c>
      <c r="C787" t="s">
        <v>1109</v>
      </c>
      <c r="D787" t="s">
        <v>1127</v>
      </c>
      <c r="E787">
        <v>38.409999999999997</v>
      </c>
      <c r="F787">
        <v>230176</v>
      </c>
      <c r="G787" t="s">
        <v>1129</v>
      </c>
      <c r="H787" t="s">
        <v>1133</v>
      </c>
    </row>
    <row r="788" spans="1:8" x14ac:dyDescent="0.25">
      <c r="A788" t="s">
        <v>59</v>
      </c>
      <c r="B788" t="s">
        <v>894</v>
      </c>
      <c r="C788" t="s">
        <v>1116</v>
      </c>
      <c r="D788" t="s">
        <v>1121</v>
      </c>
      <c r="E788">
        <v>84.71</v>
      </c>
      <c r="F788">
        <v>255622</v>
      </c>
      <c r="G788" t="s">
        <v>1129</v>
      </c>
      <c r="H788" t="s">
        <v>1134</v>
      </c>
    </row>
    <row r="789" spans="1:8" x14ac:dyDescent="0.25">
      <c r="A789" t="s">
        <v>38</v>
      </c>
      <c r="B789" t="s">
        <v>895</v>
      </c>
      <c r="C789" t="s">
        <v>1111</v>
      </c>
      <c r="D789" t="s">
        <v>1127</v>
      </c>
      <c r="E789">
        <v>68.98</v>
      </c>
      <c r="F789">
        <v>178896</v>
      </c>
      <c r="G789" t="s">
        <v>1132</v>
      </c>
      <c r="H789" t="s">
        <v>1133</v>
      </c>
    </row>
    <row r="790" spans="1:8" x14ac:dyDescent="0.25">
      <c r="A790" t="s">
        <v>34</v>
      </c>
      <c r="B790" t="s">
        <v>896</v>
      </c>
      <c r="C790" t="s">
        <v>1115</v>
      </c>
      <c r="D790" t="s">
        <v>1119</v>
      </c>
      <c r="E790">
        <v>65.08</v>
      </c>
      <c r="F790">
        <v>148568</v>
      </c>
      <c r="G790" t="s">
        <v>1129</v>
      </c>
      <c r="H790" t="s">
        <v>1133</v>
      </c>
    </row>
    <row r="791" spans="1:8" x14ac:dyDescent="0.25">
      <c r="A791" t="s">
        <v>90</v>
      </c>
      <c r="B791" t="s">
        <v>897</v>
      </c>
      <c r="C791" t="s">
        <v>1110</v>
      </c>
      <c r="D791" t="s">
        <v>1120</v>
      </c>
      <c r="E791">
        <v>60.46</v>
      </c>
      <c r="F791">
        <v>231916</v>
      </c>
      <c r="G791" t="s">
        <v>1129</v>
      </c>
      <c r="H791" t="s">
        <v>1133</v>
      </c>
    </row>
    <row r="792" spans="1:8" x14ac:dyDescent="0.25">
      <c r="A792" t="s">
        <v>104</v>
      </c>
      <c r="B792" t="s">
        <v>898</v>
      </c>
      <c r="C792" t="s">
        <v>1112</v>
      </c>
      <c r="D792" t="s">
        <v>1126</v>
      </c>
      <c r="E792">
        <v>66.22</v>
      </c>
      <c r="F792">
        <v>312151</v>
      </c>
      <c r="G792" t="s">
        <v>1132</v>
      </c>
      <c r="H792" t="s">
        <v>1133</v>
      </c>
    </row>
    <row r="793" spans="1:8" x14ac:dyDescent="0.25">
      <c r="A793" t="s">
        <v>90</v>
      </c>
      <c r="B793" t="s">
        <v>899</v>
      </c>
      <c r="C793" t="s">
        <v>1117</v>
      </c>
      <c r="D793" t="s">
        <v>1126</v>
      </c>
      <c r="E793">
        <v>63.59</v>
      </c>
      <c r="F793">
        <v>185815</v>
      </c>
      <c r="G793" t="s">
        <v>1132</v>
      </c>
      <c r="H793" t="s">
        <v>1133</v>
      </c>
    </row>
    <row r="794" spans="1:8" x14ac:dyDescent="0.25">
      <c r="A794" t="s">
        <v>85</v>
      </c>
      <c r="B794" t="s">
        <v>900</v>
      </c>
      <c r="C794" t="s">
        <v>1111</v>
      </c>
      <c r="D794" t="s">
        <v>1118</v>
      </c>
      <c r="E794">
        <v>43.91</v>
      </c>
      <c r="F794">
        <v>408886</v>
      </c>
      <c r="G794" t="s">
        <v>1131</v>
      </c>
      <c r="H794" t="s">
        <v>1133</v>
      </c>
    </row>
    <row r="795" spans="1:8" x14ac:dyDescent="0.25">
      <c r="A795" t="s">
        <v>56</v>
      </c>
      <c r="B795" t="s">
        <v>901</v>
      </c>
      <c r="C795" t="s">
        <v>1115</v>
      </c>
      <c r="D795" t="s">
        <v>1120</v>
      </c>
      <c r="E795">
        <v>41.07</v>
      </c>
      <c r="F795">
        <v>894417</v>
      </c>
      <c r="G795" t="s">
        <v>1132</v>
      </c>
      <c r="H795" t="s">
        <v>1133</v>
      </c>
    </row>
    <row r="796" spans="1:8" x14ac:dyDescent="0.25">
      <c r="A796" t="s">
        <v>70</v>
      </c>
      <c r="B796" t="s">
        <v>902</v>
      </c>
      <c r="C796" t="s">
        <v>1111</v>
      </c>
      <c r="D796" t="s">
        <v>1119</v>
      </c>
      <c r="E796">
        <v>65.95</v>
      </c>
      <c r="F796">
        <v>676420</v>
      </c>
      <c r="G796" t="s">
        <v>1131</v>
      </c>
      <c r="H796" t="s">
        <v>1133</v>
      </c>
    </row>
    <row r="797" spans="1:8" x14ac:dyDescent="0.25">
      <c r="A797" t="s">
        <v>42</v>
      </c>
      <c r="B797" t="s">
        <v>903</v>
      </c>
      <c r="C797" t="s">
        <v>1111</v>
      </c>
      <c r="D797" t="s">
        <v>1124</v>
      </c>
      <c r="E797">
        <v>61.86</v>
      </c>
      <c r="F797">
        <v>876782</v>
      </c>
      <c r="G797" t="s">
        <v>1129</v>
      </c>
      <c r="H797" t="s">
        <v>1133</v>
      </c>
    </row>
    <row r="798" spans="1:8" x14ac:dyDescent="0.25">
      <c r="A798" t="s">
        <v>76</v>
      </c>
      <c r="B798" t="s">
        <v>904</v>
      </c>
      <c r="C798" t="s">
        <v>1111</v>
      </c>
      <c r="D798" t="s">
        <v>1120</v>
      </c>
      <c r="E798">
        <v>63.48</v>
      </c>
      <c r="F798">
        <v>683312</v>
      </c>
      <c r="G798" t="s">
        <v>1130</v>
      </c>
      <c r="H798" t="s">
        <v>1134</v>
      </c>
    </row>
    <row r="799" spans="1:8" x14ac:dyDescent="0.25">
      <c r="A799" t="s">
        <v>74</v>
      </c>
      <c r="B799" t="s">
        <v>905</v>
      </c>
      <c r="C799" t="s">
        <v>1117</v>
      </c>
      <c r="D799" t="s">
        <v>1127</v>
      </c>
      <c r="E799">
        <v>76.09</v>
      </c>
      <c r="F799">
        <v>591583</v>
      </c>
      <c r="G799" t="s">
        <v>1130</v>
      </c>
      <c r="H799" t="s">
        <v>1133</v>
      </c>
    </row>
    <row r="800" spans="1:8" x14ac:dyDescent="0.25">
      <c r="A800" t="s">
        <v>92</v>
      </c>
      <c r="B800" t="s">
        <v>906</v>
      </c>
      <c r="C800" t="s">
        <v>1110</v>
      </c>
      <c r="D800" t="s">
        <v>1125</v>
      </c>
      <c r="E800">
        <v>94.79</v>
      </c>
      <c r="F800">
        <v>652531</v>
      </c>
      <c r="G800" t="s">
        <v>1131</v>
      </c>
      <c r="H800" t="s">
        <v>1133</v>
      </c>
    </row>
    <row r="801" spans="1:8" x14ac:dyDescent="0.25">
      <c r="A801" t="s">
        <v>106</v>
      </c>
      <c r="B801" t="s">
        <v>907</v>
      </c>
      <c r="C801" t="s">
        <v>1115</v>
      </c>
      <c r="D801" t="s">
        <v>1119</v>
      </c>
      <c r="E801">
        <v>64.3</v>
      </c>
      <c r="F801">
        <v>528296</v>
      </c>
      <c r="G801" t="s">
        <v>1129</v>
      </c>
      <c r="H801" t="s">
        <v>1133</v>
      </c>
    </row>
    <row r="802" spans="1:8" x14ac:dyDescent="0.25">
      <c r="A802" t="s">
        <v>70</v>
      </c>
      <c r="B802" t="s">
        <v>908</v>
      </c>
      <c r="C802" t="s">
        <v>1112</v>
      </c>
      <c r="D802" t="s">
        <v>1119</v>
      </c>
      <c r="E802">
        <v>44.77</v>
      </c>
      <c r="F802">
        <v>276007</v>
      </c>
      <c r="G802" t="s">
        <v>1132</v>
      </c>
      <c r="H802" t="s">
        <v>1133</v>
      </c>
    </row>
    <row r="803" spans="1:8" x14ac:dyDescent="0.25">
      <c r="A803" t="s">
        <v>23</v>
      </c>
      <c r="B803" t="s">
        <v>909</v>
      </c>
      <c r="C803" t="s">
        <v>1115</v>
      </c>
      <c r="D803" t="s">
        <v>1122</v>
      </c>
      <c r="E803">
        <v>77.33</v>
      </c>
      <c r="F803">
        <v>403341</v>
      </c>
      <c r="G803" t="s">
        <v>1131</v>
      </c>
      <c r="H803" t="s">
        <v>1133</v>
      </c>
    </row>
    <row r="804" spans="1:8" x14ac:dyDescent="0.25">
      <c r="A804" t="s">
        <v>27</v>
      </c>
      <c r="B804" t="s">
        <v>910</v>
      </c>
      <c r="C804" t="s">
        <v>1108</v>
      </c>
      <c r="D804" t="s">
        <v>1124</v>
      </c>
      <c r="E804">
        <v>62.03</v>
      </c>
      <c r="F804">
        <v>111228</v>
      </c>
      <c r="G804" t="s">
        <v>1128</v>
      </c>
      <c r="H804" t="s">
        <v>1134</v>
      </c>
    </row>
    <row r="805" spans="1:8" x14ac:dyDescent="0.25">
      <c r="A805" t="s">
        <v>83</v>
      </c>
      <c r="B805" t="s">
        <v>911</v>
      </c>
      <c r="C805" t="s">
        <v>1112</v>
      </c>
      <c r="D805" t="s">
        <v>1124</v>
      </c>
      <c r="E805">
        <v>96.08</v>
      </c>
      <c r="F805">
        <v>560932</v>
      </c>
      <c r="G805" t="s">
        <v>1129</v>
      </c>
      <c r="H805" t="s">
        <v>1134</v>
      </c>
    </row>
    <row r="806" spans="1:8" x14ac:dyDescent="0.25">
      <c r="A806" t="s">
        <v>53</v>
      </c>
      <c r="B806" t="s">
        <v>912</v>
      </c>
      <c r="C806" t="s">
        <v>1114</v>
      </c>
      <c r="D806" t="s">
        <v>1118</v>
      </c>
      <c r="E806">
        <v>61.45</v>
      </c>
      <c r="F806">
        <v>707080</v>
      </c>
      <c r="G806" t="s">
        <v>1130</v>
      </c>
      <c r="H806" t="s">
        <v>1133</v>
      </c>
    </row>
    <row r="807" spans="1:8" x14ac:dyDescent="0.25">
      <c r="A807" t="s">
        <v>42</v>
      </c>
      <c r="B807" t="s">
        <v>913</v>
      </c>
      <c r="C807" t="s">
        <v>1113</v>
      </c>
      <c r="D807" t="s">
        <v>1119</v>
      </c>
      <c r="E807">
        <v>42.29</v>
      </c>
      <c r="F807">
        <v>437996</v>
      </c>
      <c r="G807" t="s">
        <v>1132</v>
      </c>
      <c r="H807" t="s">
        <v>1133</v>
      </c>
    </row>
    <row r="808" spans="1:8" x14ac:dyDescent="0.25">
      <c r="A808" t="s">
        <v>45</v>
      </c>
      <c r="B808" t="s">
        <v>914</v>
      </c>
      <c r="C808" t="s">
        <v>1113</v>
      </c>
      <c r="D808" t="s">
        <v>1126</v>
      </c>
      <c r="E808">
        <v>83.99</v>
      </c>
      <c r="F808">
        <v>740547</v>
      </c>
      <c r="G808" t="s">
        <v>1130</v>
      </c>
      <c r="H808" t="s">
        <v>1133</v>
      </c>
    </row>
    <row r="809" spans="1:8" x14ac:dyDescent="0.25">
      <c r="A809" t="s">
        <v>54</v>
      </c>
      <c r="B809" t="s">
        <v>915</v>
      </c>
      <c r="C809" t="s">
        <v>1116</v>
      </c>
      <c r="D809" t="s">
        <v>1125</v>
      </c>
      <c r="E809">
        <v>63.56</v>
      </c>
      <c r="F809">
        <v>328170</v>
      </c>
      <c r="G809" t="s">
        <v>1129</v>
      </c>
      <c r="H809" t="s">
        <v>1134</v>
      </c>
    </row>
    <row r="810" spans="1:8" x14ac:dyDescent="0.25">
      <c r="A810" t="s">
        <v>79</v>
      </c>
      <c r="B810" t="s">
        <v>916</v>
      </c>
      <c r="C810" t="s">
        <v>1113</v>
      </c>
      <c r="D810" t="s">
        <v>1121</v>
      </c>
      <c r="E810">
        <v>83.01</v>
      </c>
      <c r="F810">
        <v>257144</v>
      </c>
      <c r="G810" t="s">
        <v>1129</v>
      </c>
      <c r="H810" t="s">
        <v>1133</v>
      </c>
    </row>
    <row r="811" spans="1:8" x14ac:dyDescent="0.25">
      <c r="A811" t="s">
        <v>20</v>
      </c>
      <c r="B811" t="s">
        <v>917</v>
      </c>
      <c r="C811" t="s">
        <v>1109</v>
      </c>
      <c r="D811" t="s">
        <v>1118</v>
      </c>
      <c r="E811">
        <v>42.93</v>
      </c>
      <c r="F811">
        <v>896150</v>
      </c>
      <c r="G811" t="s">
        <v>1129</v>
      </c>
      <c r="H811" t="s">
        <v>1134</v>
      </c>
    </row>
    <row r="812" spans="1:8" x14ac:dyDescent="0.25">
      <c r="A812" t="s">
        <v>95</v>
      </c>
      <c r="B812" t="s">
        <v>918</v>
      </c>
      <c r="C812" t="s">
        <v>1116</v>
      </c>
      <c r="D812" t="s">
        <v>1124</v>
      </c>
      <c r="E812">
        <v>90.79</v>
      </c>
      <c r="F812">
        <v>312276</v>
      </c>
      <c r="G812" t="s">
        <v>1129</v>
      </c>
      <c r="H812" t="s">
        <v>1133</v>
      </c>
    </row>
    <row r="813" spans="1:8" x14ac:dyDescent="0.25">
      <c r="A813" t="s">
        <v>31</v>
      </c>
      <c r="B813" t="s">
        <v>919</v>
      </c>
      <c r="C813" t="s">
        <v>1116</v>
      </c>
      <c r="D813" t="s">
        <v>1125</v>
      </c>
      <c r="E813">
        <v>69.400000000000006</v>
      </c>
      <c r="F813">
        <v>813654</v>
      </c>
      <c r="G813" t="s">
        <v>1128</v>
      </c>
      <c r="H813" t="s">
        <v>1134</v>
      </c>
    </row>
    <row r="814" spans="1:8" x14ac:dyDescent="0.25">
      <c r="A814" t="s">
        <v>82</v>
      </c>
      <c r="B814" t="s">
        <v>920</v>
      </c>
      <c r="C814" t="s">
        <v>1117</v>
      </c>
      <c r="D814" t="s">
        <v>1125</v>
      </c>
      <c r="E814">
        <v>80.13</v>
      </c>
      <c r="F814">
        <v>638648</v>
      </c>
      <c r="G814" t="s">
        <v>1131</v>
      </c>
      <c r="H814" t="s">
        <v>1133</v>
      </c>
    </row>
    <row r="815" spans="1:8" x14ac:dyDescent="0.25">
      <c r="A815" t="s">
        <v>105</v>
      </c>
      <c r="B815" t="s">
        <v>921</v>
      </c>
      <c r="C815" t="s">
        <v>1109</v>
      </c>
      <c r="D815" t="s">
        <v>1124</v>
      </c>
      <c r="E815">
        <v>63.11</v>
      </c>
      <c r="F815">
        <v>995639</v>
      </c>
      <c r="G815" t="s">
        <v>1130</v>
      </c>
      <c r="H815" t="s">
        <v>1133</v>
      </c>
    </row>
    <row r="816" spans="1:8" x14ac:dyDescent="0.25">
      <c r="A816" t="s">
        <v>73</v>
      </c>
      <c r="B816" t="s">
        <v>922</v>
      </c>
      <c r="C816" t="s">
        <v>1113</v>
      </c>
      <c r="D816" t="s">
        <v>1126</v>
      </c>
      <c r="E816">
        <v>94.43</v>
      </c>
      <c r="F816">
        <v>140363</v>
      </c>
      <c r="G816" t="s">
        <v>1131</v>
      </c>
      <c r="H816" t="s">
        <v>1133</v>
      </c>
    </row>
    <row r="817" spans="1:8" x14ac:dyDescent="0.25">
      <c r="A817" t="s">
        <v>105</v>
      </c>
      <c r="B817" t="s">
        <v>923</v>
      </c>
      <c r="C817" t="s">
        <v>1109</v>
      </c>
      <c r="D817" t="s">
        <v>1122</v>
      </c>
      <c r="E817">
        <v>55.88</v>
      </c>
      <c r="F817">
        <v>973748</v>
      </c>
      <c r="G817" t="s">
        <v>1129</v>
      </c>
      <c r="H817" t="s">
        <v>1133</v>
      </c>
    </row>
    <row r="818" spans="1:8" x14ac:dyDescent="0.25">
      <c r="A818" t="s">
        <v>33</v>
      </c>
      <c r="B818" t="s">
        <v>924</v>
      </c>
      <c r="C818" t="s">
        <v>1113</v>
      </c>
      <c r="D818" t="s">
        <v>1124</v>
      </c>
      <c r="E818">
        <v>45.58</v>
      </c>
      <c r="F818">
        <v>306434</v>
      </c>
      <c r="G818" t="s">
        <v>1131</v>
      </c>
      <c r="H818" t="s">
        <v>1134</v>
      </c>
    </row>
    <row r="819" spans="1:8" x14ac:dyDescent="0.25">
      <c r="A819" t="s">
        <v>88</v>
      </c>
      <c r="B819" t="s">
        <v>925</v>
      </c>
      <c r="C819" t="s">
        <v>1114</v>
      </c>
      <c r="D819" t="s">
        <v>1123</v>
      </c>
      <c r="E819">
        <v>35.369999999999997</v>
      </c>
      <c r="F819">
        <v>375550</v>
      </c>
      <c r="G819" t="s">
        <v>1131</v>
      </c>
      <c r="H819" t="s">
        <v>1133</v>
      </c>
    </row>
    <row r="820" spans="1:8" x14ac:dyDescent="0.25">
      <c r="A820" t="s">
        <v>58</v>
      </c>
      <c r="B820" t="s">
        <v>926</v>
      </c>
      <c r="C820" t="s">
        <v>1112</v>
      </c>
      <c r="D820" t="s">
        <v>1122</v>
      </c>
      <c r="E820">
        <v>59.78</v>
      </c>
      <c r="F820">
        <v>683956</v>
      </c>
      <c r="G820" t="s">
        <v>1128</v>
      </c>
      <c r="H820" t="s">
        <v>1133</v>
      </c>
    </row>
    <row r="821" spans="1:8" x14ac:dyDescent="0.25">
      <c r="A821" t="s">
        <v>71</v>
      </c>
      <c r="B821" t="s">
        <v>927</v>
      </c>
      <c r="C821" t="s">
        <v>1113</v>
      </c>
      <c r="D821" t="s">
        <v>1123</v>
      </c>
      <c r="E821">
        <v>52.6</v>
      </c>
      <c r="F821">
        <v>438282</v>
      </c>
      <c r="G821" t="s">
        <v>1129</v>
      </c>
      <c r="H821" t="s">
        <v>1133</v>
      </c>
    </row>
    <row r="822" spans="1:8" x14ac:dyDescent="0.25">
      <c r="A822" t="s">
        <v>30</v>
      </c>
      <c r="B822" t="s">
        <v>928</v>
      </c>
      <c r="C822" t="s">
        <v>1108</v>
      </c>
      <c r="D822" t="s">
        <v>1120</v>
      </c>
      <c r="E822">
        <v>88.59</v>
      </c>
      <c r="F822">
        <v>969527</v>
      </c>
      <c r="G822" t="s">
        <v>1130</v>
      </c>
      <c r="H822" t="s">
        <v>1133</v>
      </c>
    </row>
    <row r="823" spans="1:8" x14ac:dyDescent="0.25">
      <c r="A823" t="s">
        <v>43</v>
      </c>
      <c r="B823" t="s">
        <v>929</v>
      </c>
      <c r="C823" t="s">
        <v>1109</v>
      </c>
      <c r="D823" t="s">
        <v>1120</v>
      </c>
      <c r="E823">
        <v>55.08</v>
      </c>
      <c r="F823">
        <v>584414</v>
      </c>
      <c r="G823" t="s">
        <v>1129</v>
      </c>
      <c r="H823" t="s">
        <v>1133</v>
      </c>
    </row>
    <row r="824" spans="1:8" x14ac:dyDescent="0.25">
      <c r="A824" t="s">
        <v>13</v>
      </c>
      <c r="B824" t="s">
        <v>930</v>
      </c>
      <c r="C824" t="s">
        <v>1111</v>
      </c>
      <c r="D824" t="s">
        <v>1118</v>
      </c>
      <c r="E824">
        <v>97.54</v>
      </c>
      <c r="F824">
        <v>436550</v>
      </c>
      <c r="G824" t="s">
        <v>1130</v>
      </c>
      <c r="H824" t="s">
        <v>1133</v>
      </c>
    </row>
    <row r="825" spans="1:8" x14ac:dyDescent="0.25">
      <c r="A825" t="s">
        <v>65</v>
      </c>
      <c r="B825" t="s">
        <v>931</v>
      </c>
      <c r="C825" t="s">
        <v>1110</v>
      </c>
      <c r="D825" t="s">
        <v>1123</v>
      </c>
      <c r="E825">
        <v>92.3</v>
      </c>
      <c r="F825">
        <v>819375</v>
      </c>
      <c r="G825" t="s">
        <v>1132</v>
      </c>
      <c r="H825" t="s">
        <v>1133</v>
      </c>
    </row>
    <row r="826" spans="1:8" x14ac:dyDescent="0.25">
      <c r="A826" t="s">
        <v>68</v>
      </c>
      <c r="B826" t="s">
        <v>932</v>
      </c>
      <c r="C826" t="s">
        <v>1112</v>
      </c>
      <c r="D826" t="s">
        <v>1126</v>
      </c>
      <c r="E826">
        <v>65.900000000000006</v>
      </c>
      <c r="F826">
        <v>286792</v>
      </c>
      <c r="G826" t="s">
        <v>1128</v>
      </c>
      <c r="H826" t="s">
        <v>1133</v>
      </c>
    </row>
    <row r="827" spans="1:8" x14ac:dyDescent="0.25">
      <c r="A827" t="s">
        <v>19</v>
      </c>
      <c r="B827" t="s">
        <v>933</v>
      </c>
      <c r="C827" t="s">
        <v>1116</v>
      </c>
      <c r="D827" t="s">
        <v>1119</v>
      </c>
      <c r="E827">
        <v>56.2</v>
      </c>
      <c r="F827">
        <v>388494</v>
      </c>
      <c r="G827" t="s">
        <v>1128</v>
      </c>
      <c r="H827" t="s">
        <v>1134</v>
      </c>
    </row>
    <row r="828" spans="1:8" x14ac:dyDescent="0.25">
      <c r="A828" t="s">
        <v>60</v>
      </c>
      <c r="B828" t="s">
        <v>934</v>
      </c>
      <c r="C828" t="s">
        <v>1115</v>
      </c>
      <c r="D828" t="s">
        <v>1126</v>
      </c>
      <c r="E828">
        <v>40.15</v>
      </c>
      <c r="F828">
        <v>176419</v>
      </c>
      <c r="G828" t="s">
        <v>1130</v>
      </c>
      <c r="H828" t="s">
        <v>1133</v>
      </c>
    </row>
    <row r="829" spans="1:8" x14ac:dyDescent="0.25">
      <c r="A829" t="s">
        <v>69</v>
      </c>
      <c r="B829" t="s">
        <v>935</v>
      </c>
      <c r="C829" t="s">
        <v>1108</v>
      </c>
      <c r="D829" t="s">
        <v>1124</v>
      </c>
      <c r="E829">
        <v>84.39</v>
      </c>
      <c r="F829">
        <v>141660</v>
      </c>
      <c r="G829" t="s">
        <v>1128</v>
      </c>
      <c r="H829" t="s">
        <v>1133</v>
      </c>
    </row>
    <row r="830" spans="1:8" x14ac:dyDescent="0.25">
      <c r="A830" t="s">
        <v>106</v>
      </c>
      <c r="B830" t="s">
        <v>936</v>
      </c>
      <c r="C830" t="s">
        <v>1112</v>
      </c>
      <c r="D830" t="s">
        <v>1127</v>
      </c>
      <c r="E830">
        <v>71.92</v>
      </c>
      <c r="F830">
        <v>985068</v>
      </c>
      <c r="G830" t="s">
        <v>1129</v>
      </c>
      <c r="H830" t="s">
        <v>1134</v>
      </c>
    </row>
    <row r="831" spans="1:8" x14ac:dyDescent="0.25">
      <c r="A831" t="s">
        <v>26</v>
      </c>
      <c r="B831" t="s">
        <v>937</v>
      </c>
      <c r="C831" t="s">
        <v>1110</v>
      </c>
      <c r="D831" t="s">
        <v>1124</v>
      </c>
      <c r="E831">
        <v>49.43</v>
      </c>
      <c r="F831">
        <v>568414</v>
      </c>
      <c r="G831" t="s">
        <v>1132</v>
      </c>
      <c r="H831" t="s">
        <v>1134</v>
      </c>
    </row>
    <row r="832" spans="1:8" x14ac:dyDescent="0.25">
      <c r="A832" t="s">
        <v>12</v>
      </c>
      <c r="B832" t="s">
        <v>938</v>
      </c>
      <c r="C832" t="s">
        <v>1110</v>
      </c>
      <c r="D832" t="s">
        <v>1122</v>
      </c>
      <c r="E832">
        <v>83.65</v>
      </c>
      <c r="F832">
        <v>423469</v>
      </c>
      <c r="G832" t="s">
        <v>1129</v>
      </c>
      <c r="H832" t="s">
        <v>1133</v>
      </c>
    </row>
    <row r="833" spans="1:8" x14ac:dyDescent="0.25">
      <c r="A833" t="s">
        <v>31</v>
      </c>
      <c r="B833" t="s">
        <v>939</v>
      </c>
      <c r="C833" t="s">
        <v>1111</v>
      </c>
      <c r="D833" t="s">
        <v>1118</v>
      </c>
      <c r="E833">
        <v>91.94</v>
      </c>
      <c r="F833">
        <v>548444</v>
      </c>
      <c r="G833" t="s">
        <v>1132</v>
      </c>
      <c r="H833" t="s">
        <v>1133</v>
      </c>
    </row>
    <row r="834" spans="1:8" x14ac:dyDescent="0.25">
      <c r="A834" t="s">
        <v>26</v>
      </c>
      <c r="B834" t="s">
        <v>940</v>
      </c>
      <c r="C834" t="s">
        <v>1113</v>
      </c>
      <c r="D834" t="s">
        <v>1122</v>
      </c>
      <c r="E834">
        <v>44.05</v>
      </c>
      <c r="F834">
        <v>589616</v>
      </c>
      <c r="G834" t="s">
        <v>1128</v>
      </c>
      <c r="H834" t="s">
        <v>1133</v>
      </c>
    </row>
    <row r="835" spans="1:8" x14ac:dyDescent="0.25">
      <c r="A835" t="s">
        <v>104</v>
      </c>
      <c r="B835" t="s">
        <v>941</v>
      </c>
      <c r="C835" t="s">
        <v>1116</v>
      </c>
      <c r="D835" t="s">
        <v>1122</v>
      </c>
      <c r="E835">
        <v>84.99</v>
      </c>
      <c r="F835">
        <v>418835</v>
      </c>
      <c r="G835" t="s">
        <v>1128</v>
      </c>
      <c r="H835" t="s">
        <v>1134</v>
      </c>
    </row>
    <row r="836" spans="1:8" x14ac:dyDescent="0.25">
      <c r="A836" t="s">
        <v>25</v>
      </c>
      <c r="B836" t="s">
        <v>942</v>
      </c>
      <c r="C836" t="s">
        <v>1114</v>
      </c>
      <c r="D836" t="s">
        <v>1127</v>
      </c>
      <c r="E836">
        <v>81.12</v>
      </c>
      <c r="F836">
        <v>767969</v>
      </c>
      <c r="G836" t="s">
        <v>1132</v>
      </c>
      <c r="H836" t="s">
        <v>1134</v>
      </c>
    </row>
    <row r="837" spans="1:8" x14ac:dyDescent="0.25">
      <c r="A837" t="s">
        <v>104</v>
      </c>
      <c r="B837" t="s">
        <v>943</v>
      </c>
      <c r="C837" t="s">
        <v>1111</v>
      </c>
      <c r="D837" t="s">
        <v>1127</v>
      </c>
      <c r="E837">
        <v>57.42</v>
      </c>
      <c r="F837">
        <v>198390</v>
      </c>
      <c r="G837" t="s">
        <v>1132</v>
      </c>
      <c r="H837" t="s">
        <v>1133</v>
      </c>
    </row>
    <row r="838" spans="1:8" x14ac:dyDescent="0.25">
      <c r="A838" t="s">
        <v>79</v>
      </c>
      <c r="B838" t="s">
        <v>944</v>
      </c>
      <c r="C838" t="s">
        <v>1115</v>
      </c>
      <c r="D838" t="s">
        <v>1120</v>
      </c>
      <c r="E838">
        <v>54.52</v>
      </c>
      <c r="F838">
        <v>912747</v>
      </c>
      <c r="G838" t="s">
        <v>1129</v>
      </c>
      <c r="H838" t="s">
        <v>1133</v>
      </c>
    </row>
    <row r="839" spans="1:8" x14ac:dyDescent="0.25">
      <c r="A839" t="s">
        <v>104</v>
      </c>
      <c r="B839" t="s">
        <v>945</v>
      </c>
      <c r="C839" t="s">
        <v>1113</v>
      </c>
      <c r="D839" t="s">
        <v>1124</v>
      </c>
      <c r="E839">
        <v>46.4</v>
      </c>
      <c r="F839">
        <v>436220</v>
      </c>
      <c r="G839" t="s">
        <v>1129</v>
      </c>
      <c r="H839" t="s">
        <v>1133</v>
      </c>
    </row>
    <row r="840" spans="1:8" x14ac:dyDescent="0.25">
      <c r="A840" t="s">
        <v>69</v>
      </c>
      <c r="B840" t="s">
        <v>946</v>
      </c>
      <c r="C840" t="s">
        <v>1115</v>
      </c>
      <c r="D840" t="s">
        <v>1126</v>
      </c>
      <c r="E840">
        <v>76.81</v>
      </c>
      <c r="F840">
        <v>247999</v>
      </c>
      <c r="G840" t="s">
        <v>1130</v>
      </c>
      <c r="H840" t="s">
        <v>1133</v>
      </c>
    </row>
    <row r="841" spans="1:8" x14ac:dyDescent="0.25">
      <c r="A841" t="s">
        <v>56</v>
      </c>
      <c r="B841" t="s">
        <v>947</v>
      </c>
      <c r="C841" t="s">
        <v>1114</v>
      </c>
      <c r="D841" t="s">
        <v>1126</v>
      </c>
      <c r="E841">
        <v>75.44</v>
      </c>
      <c r="F841">
        <v>456322</v>
      </c>
      <c r="G841" t="s">
        <v>1128</v>
      </c>
      <c r="H841" t="s">
        <v>1134</v>
      </c>
    </row>
    <row r="842" spans="1:8" x14ac:dyDescent="0.25">
      <c r="A842" t="s">
        <v>95</v>
      </c>
      <c r="B842" t="s">
        <v>948</v>
      </c>
      <c r="C842" t="s">
        <v>1111</v>
      </c>
      <c r="D842" t="s">
        <v>1118</v>
      </c>
      <c r="E842">
        <v>53.01</v>
      </c>
      <c r="F842">
        <v>666087</v>
      </c>
      <c r="G842" t="s">
        <v>1131</v>
      </c>
      <c r="H842" t="s">
        <v>1134</v>
      </c>
    </row>
    <row r="843" spans="1:8" x14ac:dyDescent="0.25">
      <c r="A843" t="s">
        <v>53</v>
      </c>
      <c r="B843" t="s">
        <v>949</v>
      </c>
      <c r="C843" t="s">
        <v>1113</v>
      </c>
      <c r="D843" t="s">
        <v>1125</v>
      </c>
      <c r="E843">
        <v>84.96</v>
      </c>
      <c r="F843">
        <v>847328</v>
      </c>
      <c r="G843" t="s">
        <v>1130</v>
      </c>
      <c r="H843" t="s">
        <v>1133</v>
      </c>
    </row>
    <row r="844" spans="1:8" x14ac:dyDescent="0.25">
      <c r="A844" t="s">
        <v>12</v>
      </c>
      <c r="B844" t="s">
        <v>950</v>
      </c>
      <c r="C844" t="s">
        <v>1113</v>
      </c>
      <c r="D844" t="s">
        <v>1122</v>
      </c>
      <c r="E844">
        <v>46.42</v>
      </c>
      <c r="F844">
        <v>799408</v>
      </c>
      <c r="G844" t="s">
        <v>1131</v>
      </c>
      <c r="H844" t="s">
        <v>1134</v>
      </c>
    </row>
    <row r="845" spans="1:8" x14ac:dyDescent="0.25">
      <c r="A845" t="s">
        <v>103</v>
      </c>
      <c r="B845" t="s">
        <v>951</v>
      </c>
      <c r="C845" t="s">
        <v>1116</v>
      </c>
      <c r="D845" t="s">
        <v>1126</v>
      </c>
      <c r="E845">
        <v>42.86</v>
      </c>
      <c r="F845">
        <v>851448</v>
      </c>
      <c r="G845" t="s">
        <v>1130</v>
      </c>
      <c r="H845" t="s">
        <v>1133</v>
      </c>
    </row>
    <row r="846" spans="1:8" x14ac:dyDescent="0.25">
      <c r="A846" t="s">
        <v>37</v>
      </c>
      <c r="B846" t="s">
        <v>952</v>
      </c>
      <c r="C846" t="s">
        <v>1110</v>
      </c>
      <c r="D846" t="s">
        <v>1120</v>
      </c>
      <c r="E846">
        <v>89.8</v>
      </c>
      <c r="F846">
        <v>328802</v>
      </c>
      <c r="G846" t="s">
        <v>1131</v>
      </c>
      <c r="H846" t="s">
        <v>1133</v>
      </c>
    </row>
    <row r="847" spans="1:8" x14ac:dyDescent="0.25">
      <c r="A847" t="s">
        <v>16</v>
      </c>
      <c r="B847" t="s">
        <v>953</v>
      </c>
      <c r="C847" t="s">
        <v>1115</v>
      </c>
      <c r="D847" t="s">
        <v>1124</v>
      </c>
      <c r="E847">
        <v>88.12</v>
      </c>
      <c r="F847">
        <v>620201</v>
      </c>
      <c r="G847" t="s">
        <v>1130</v>
      </c>
      <c r="H847" t="s">
        <v>1134</v>
      </c>
    </row>
    <row r="848" spans="1:8" x14ac:dyDescent="0.25">
      <c r="A848" t="s">
        <v>31</v>
      </c>
      <c r="B848" t="s">
        <v>954</v>
      </c>
      <c r="C848" t="s">
        <v>1116</v>
      </c>
      <c r="D848" t="s">
        <v>1122</v>
      </c>
      <c r="E848">
        <v>56.79</v>
      </c>
      <c r="F848">
        <v>295493</v>
      </c>
      <c r="G848" t="s">
        <v>1129</v>
      </c>
      <c r="H848" t="s">
        <v>1134</v>
      </c>
    </row>
    <row r="849" spans="1:8" x14ac:dyDescent="0.25">
      <c r="A849" t="s">
        <v>100</v>
      </c>
      <c r="B849" t="s">
        <v>955</v>
      </c>
      <c r="C849" t="s">
        <v>1111</v>
      </c>
      <c r="D849" t="s">
        <v>1126</v>
      </c>
      <c r="E849">
        <v>94.46</v>
      </c>
      <c r="F849">
        <v>163899</v>
      </c>
      <c r="G849" t="s">
        <v>1132</v>
      </c>
      <c r="H849" t="s">
        <v>1133</v>
      </c>
    </row>
    <row r="850" spans="1:8" x14ac:dyDescent="0.25">
      <c r="A850" t="s">
        <v>61</v>
      </c>
      <c r="B850" t="s">
        <v>956</v>
      </c>
      <c r="C850" t="s">
        <v>1112</v>
      </c>
      <c r="D850" t="s">
        <v>1127</v>
      </c>
      <c r="E850">
        <v>47.93</v>
      </c>
      <c r="F850">
        <v>981228</v>
      </c>
      <c r="G850" t="s">
        <v>1128</v>
      </c>
      <c r="H850" t="s">
        <v>1133</v>
      </c>
    </row>
    <row r="851" spans="1:8" x14ac:dyDescent="0.25">
      <c r="A851" t="s">
        <v>10</v>
      </c>
      <c r="B851" t="s">
        <v>957</v>
      </c>
      <c r="C851" t="s">
        <v>1113</v>
      </c>
      <c r="D851" t="s">
        <v>1118</v>
      </c>
      <c r="E851">
        <v>72.73</v>
      </c>
      <c r="F851">
        <v>866174</v>
      </c>
      <c r="G851" t="s">
        <v>1131</v>
      </c>
      <c r="H851" t="s">
        <v>1134</v>
      </c>
    </row>
    <row r="852" spans="1:8" x14ac:dyDescent="0.25">
      <c r="A852" t="s">
        <v>48</v>
      </c>
      <c r="B852" t="s">
        <v>958</v>
      </c>
      <c r="C852" t="s">
        <v>1113</v>
      </c>
      <c r="D852" t="s">
        <v>1127</v>
      </c>
      <c r="E852">
        <v>71.61</v>
      </c>
      <c r="F852">
        <v>463706</v>
      </c>
      <c r="G852" t="s">
        <v>1128</v>
      </c>
      <c r="H852" t="s">
        <v>1133</v>
      </c>
    </row>
    <row r="853" spans="1:8" x14ac:dyDescent="0.25">
      <c r="A853" t="s">
        <v>63</v>
      </c>
      <c r="B853" t="s">
        <v>959</v>
      </c>
      <c r="C853" t="s">
        <v>1117</v>
      </c>
      <c r="D853" t="s">
        <v>1126</v>
      </c>
      <c r="E853">
        <v>55.09</v>
      </c>
      <c r="F853">
        <v>114319</v>
      </c>
      <c r="G853" t="s">
        <v>1129</v>
      </c>
      <c r="H853" t="s">
        <v>1134</v>
      </c>
    </row>
    <row r="854" spans="1:8" x14ac:dyDescent="0.25">
      <c r="A854" t="s">
        <v>49</v>
      </c>
      <c r="B854" t="s">
        <v>960</v>
      </c>
      <c r="C854" t="s">
        <v>1117</v>
      </c>
      <c r="D854" t="s">
        <v>1127</v>
      </c>
      <c r="E854">
        <v>78.53</v>
      </c>
      <c r="F854">
        <v>569580</v>
      </c>
      <c r="G854" t="s">
        <v>1128</v>
      </c>
      <c r="H854" t="s">
        <v>1134</v>
      </c>
    </row>
    <row r="855" spans="1:8" x14ac:dyDescent="0.25">
      <c r="A855" t="s">
        <v>29</v>
      </c>
      <c r="B855" t="s">
        <v>961</v>
      </c>
      <c r="C855" t="s">
        <v>1108</v>
      </c>
      <c r="D855" t="s">
        <v>1125</v>
      </c>
      <c r="E855">
        <v>91.88</v>
      </c>
      <c r="F855">
        <v>517713</v>
      </c>
      <c r="G855" t="s">
        <v>1130</v>
      </c>
      <c r="H855" t="s">
        <v>1133</v>
      </c>
    </row>
    <row r="856" spans="1:8" x14ac:dyDescent="0.25">
      <c r="A856" t="s">
        <v>66</v>
      </c>
      <c r="B856" t="s">
        <v>962</v>
      </c>
      <c r="C856" t="s">
        <v>1114</v>
      </c>
      <c r="D856" t="s">
        <v>1119</v>
      </c>
      <c r="E856">
        <v>46.21</v>
      </c>
      <c r="F856">
        <v>254507</v>
      </c>
      <c r="G856" t="s">
        <v>1132</v>
      </c>
      <c r="H856" t="s">
        <v>1133</v>
      </c>
    </row>
    <row r="857" spans="1:8" x14ac:dyDescent="0.25">
      <c r="A857" t="s">
        <v>59</v>
      </c>
      <c r="B857" t="s">
        <v>963</v>
      </c>
      <c r="C857" t="s">
        <v>1114</v>
      </c>
      <c r="D857" t="s">
        <v>1123</v>
      </c>
      <c r="E857">
        <v>76.08</v>
      </c>
      <c r="F857">
        <v>366238</v>
      </c>
      <c r="G857" t="s">
        <v>1129</v>
      </c>
      <c r="H857" t="s">
        <v>1134</v>
      </c>
    </row>
    <row r="858" spans="1:8" x14ac:dyDescent="0.25">
      <c r="A858" t="s">
        <v>41</v>
      </c>
      <c r="B858" t="s">
        <v>964</v>
      </c>
      <c r="C858" t="s">
        <v>1115</v>
      </c>
      <c r="D858" t="s">
        <v>1126</v>
      </c>
      <c r="E858">
        <v>65.66</v>
      </c>
      <c r="F858">
        <v>796244</v>
      </c>
      <c r="G858" t="s">
        <v>1132</v>
      </c>
      <c r="H858" t="s">
        <v>1133</v>
      </c>
    </row>
    <row r="859" spans="1:8" x14ac:dyDescent="0.25">
      <c r="A859" t="s">
        <v>48</v>
      </c>
      <c r="B859" t="s">
        <v>965</v>
      </c>
      <c r="C859" t="s">
        <v>1108</v>
      </c>
      <c r="D859" t="s">
        <v>1119</v>
      </c>
      <c r="E859">
        <v>65.209999999999994</v>
      </c>
      <c r="F859">
        <v>196786</v>
      </c>
      <c r="G859" t="s">
        <v>1130</v>
      </c>
      <c r="H859" t="s">
        <v>1133</v>
      </c>
    </row>
    <row r="860" spans="1:8" x14ac:dyDescent="0.25">
      <c r="A860" t="s">
        <v>55</v>
      </c>
      <c r="B860" t="s">
        <v>966</v>
      </c>
      <c r="C860" t="s">
        <v>1109</v>
      </c>
      <c r="D860" t="s">
        <v>1122</v>
      </c>
      <c r="E860">
        <v>86.99</v>
      </c>
      <c r="F860">
        <v>900812</v>
      </c>
      <c r="G860" t="s">
        <v>1129</v>
      </c>
      <c r="H860" t="s">
        <v>1134</v>
      </c>
    </row>
    <row r="861" spans="1:8" x14ac:dyDescent="0.25">
      <c r="A861" t="s">
        <v>35</v>
      </c>
      <c r="B861" t="s">
        <v>967</v>
      </c>
      <c r="C861" t="s">
        <v>1117</v>
      </c>
      <c r="D861" t="s">
        <v>1123</v>
      </c>
      <c r="E861">
        <v>74.33</v>
      </c>
      <c r="F861">
        <v>223242</v>
      </c>
      <c r="G861" t="s">
        <v>1132</v>
      </c>
      <c r="H861" t="s">
        <v>1134</v>
      </c>
    </row>
    <row r="862" spans="1:8" x14ac:dyDescent="0.25">
      <c r="A862" t="s">
        <v>47</v>
      </c>
      <c r="B862" t="s">
        <v>968</v>
      </c>
      <c r="C862" t="s">
        <v>1111</v>
      </c>
      <c r="D862" t="s">
        <v>1126</v>
      </c>
      <c r="E862">
        <v>52.58</v>
      </c>
      <c r="F862">
        <v>747751</v>
      </c>
      <c r="G862" t="s">
        <v>1130</v>
      </c>
      <c r="H862" t="s">
        <v>1133</v>
      </c>
    </row>
    <row r="863" spans="1:8" x14ac:dyDescent="0.25">
      <c r="A863" t="s">
        <v>71</v>
      </c>
      <c r="B863" t="s">
        <v>969</v>
      </c>
      <c r="C863" t="s">
        <v>1117</v>
      </c>
      <c r="D863" t="s">
        <v>1123</v>
      </c>
      <c r="E863">
        <v>66.430000000000007</v>
      </c>
      <c r="F863">
        <v>794960</v>
      </c>
      <c r="G863" t="s">
        <v>1131</v>
      </c>
      <c r="H863" t="s">
        <v>1133</v>
      </c>
    </row>
    <row r="864" spans="1:8" x14ac:dyDescent="0.25">
      <c r="A864" t="s">
        <v>34</v>
      </c>
      <c r="B864" t="s">
        <v>970</v>
      </c>
      <c r="C864" t="s">
        <v>1108</v>
      </c>
      <c r="D864" t="s">
        <v>1125</v>
      </c>
      <c r="E864">
        <v>88</v>
      </c>
      <c r="F864">
        <v>751521</v>
      </c>
      <c r="G864" t="s">
        <v>1128</v>
      </c>
      <c r="H864" t="s">
        <v>1133</v>
      </c>
    </row>
    <row r="865" spans="1:8" x14ac:dyDescent="0.25">
      <c r="A865" t="s">
        <v>71</v>
      </c>
      <c r="B865" t="s">
        <v>971</v>
      </c>
      <c r="C865" t="s">
        <v>1110</v>
      </c>
      <c r="D865" t="s">
        <v>1125</v>
      </c>
      <c r="E865">
        <v>36.58</v>
      </c>
      <c r="F865">
        <v>952202</v>
      </c>
      <c r="G865" t="s">
        <v>1130</v>
      </c>
      <c r="H865" t="s">
        <v>1133</v>
      </c>
    </row>
    <row r="866" spans="1:8" x14ac:dyDescent="0.25">
      <c r="A866" t="s">
        <v>64</v>
      </c>
      <c r="B866" t="s">
        <v>972</v>
      </c>
      <c r="C866" t="s">
        <v>1109</v>
      </c>
      <c r="D866" t="s">
        <v>1119</v>
      </c>
      <c r="E866">
        <v>68.760000000000005</v>
      </c>
      <c r="F866">
        <v>449450</v>
      </c>
      <c r="G866" t="s">
        <v>1131</v>
      </c>
      <c r="H866" t="s">
        <v>1134</v>
      </c>
    </row>
    <row r="867" spans="1:8" x14ac:dyDescent="0.25">
      <c r="A867" t="s">
        <v>84</v>
      </c>
      <c r="B867" t="s">
        <v>973</v>
      </c>
      <c r="C867" t="s">
        <v>1110</v>
      </c>
      <c r="D867" t="s">
        <v>1119</v>
      </c>
      <c r="E867">
        <v>74.489999999999995</v>
      </c>
      <c r="F867">
        <v>681750</v>
      </c>
      <c r="G867" t="s">
        <v>1129</v>
      </c>
      <c r="H867" t="s">
        <v>1133</v>
      </c>
    </row>
    <row r="868" spans="1:8" x14ac:dyDescent="0.25">
      <c r="A868" t="s">
        <v>102</v>
      </c>
      <c r="B868" t="s">
        <v>974</v>
      </c>
      <c r="C868" t="s">
        <v>1113</v>
      </c>
      <c r="D868" t="s">
        <v>1125</v>
      </c>
      <c r="E868">
        <v>71.23</v>
      </c>
      <c r="F868">
        <v>952258</v>
      </c>
      <c r="G868" t="s">
        <v>1128</v>
      </c>
      <c r="H868" t="s">
        <v>1133</v>
      </c>
    </row>
    <row r="869" spans="1:8" x14ac:dyDescent="0.25">
      <c r="A869" t="s">
        <v>43</v>
      </c>
      <c r="B869" t="s">
        <v>975</v>
      </c>
      <c r="C869" t="s">
        <v>1112</v>
      </c>
      <c r="D869" t="s">
        <v>1127</v>
      </c>
      <c r="E869">
        <v>59.41</v>
      </c>
      <c r="F869">
        <v>558882</v>
      </c>
      <c r="G869" t="s">
        <v>1128</v>
      </c>
      <c r="H869" t="s">
        <v>1134</v>
      </c>
    </row>
    <row r="870" spans="1:8" x14ac:dyDescent="0.25">
      <c r="A870" t="s">
        <v>98</v>
      </c>
      <c r="B870" t="s">
        <v>976</v>
      </c>
      <c r="C870" t="s">
        <v>1114</v>
      </c>
      <c r="D870" t="s">
        <v>1119</v>
      </c>
      <c r="E870">
        <v>48.28</v>
      </c>
      <c r="F870">
        <v>656244</v>
      </c>
      <c r="G870" t="s">
        <v>1128</v>
      </c>
      <c r="H870" t="s">
        <v>1133</v>
      </c>
    </row>
    <row r="871" spans="1:8" x14ac:dyDescent="0.25">
      <c r="A871" t="s">
        <v>32</v>
      </c>
      <c r="B871" t="s">
        <v>977</v>
      </c>
      <c r="C871" t="s">
        <v>1115</v>
      </c>
      <c r="D871" t="s">
        <v>1123</v>
      </c>
      <c r="E871">
        <v>72.84</v>
      </c>
      <c r="F871">
        <v>874645</v>
      </c>
      <c r="G871" t="s">
        <v>1131</v>
      </c>
      <c r="H871" t="s">
        <v>1133</v>
      </c>
    </row>
    <row r="872" spans="1:8" x14ac:dyDescent="0.25">
      <c r="A872" t="s">
        <v>50</v>
      </c>
      <c r="B872" t="s">
        <v>978</v>
      </c>
      <c r="C872" t="s">
        <v>1112</v>
      </c>
      <c r="D872" t="s">
        <v>1121</v>
      </c>
      <c r="E872">
        <v>87.24</v>
      </c>
      <c r="F872">
        <v>355980</v>
      </c>
      <c r="G872" t="s">
        <v>1131</v>
      </c>
      <c r="H872" t="s">
        <v>1134</v>
      </c>
    </row>
    <row r="873" spans="1:8" x14ac:dyDescent="0.25">
      <c r="A873" t="s">
        <v>48</v>
      </c>
      <c r="B873" t="s">
        <v>979</v>
      </c>
      <c r="C873" t="s">
        <v>1110</v>
      </c>
      <c r="D873" t="s">
        <v>1118</v>
      </c>
      <c r="E873">
        <v>66.27</v>
      </c>
      <c r="F873">
        <v>357945</v>
      </c>
      <c r="G873" t="s">
        <v>1128</v>
      </c>
      <c r="H873" t="s">
        <v>1134</v>
      </c>
    </row>
    <row r="874" spans="1:8" x14ac:dyDescent="0.25">
      <c r="A874" t="s">
        <v>8</v>
      </c>
      <c r="B874" t="s">
        <v>980</v>
      </c>
      <c r="C874" t="s">
        <v>1108</v>
      </c>
      <c r="D874" t="s">
        <v>1123</v>
      </c>
      <c r="E874">
        <v>46.29</v>
      </c>
      <c r="F874">
        <v>321886</v>
      </c>
      <c r="G874" t="s">
        <v>1129</v>
      </c>
      <c r="H874" t="s">
        <v>1134</v>
      </c>
    </row>
    <row r="875" spans="1:8" x14ac:dyDescent="0.25">
      <c r="A875" t="s">
        <v>101</v>
      </c>
      <c r="B875" t="s">
        <v>981</v>
      </c>
      <c r="C875" t="s">
        <v>1116</v>
      </c>
      <c r="D875" t="s">
        <v>1122</v>
      </c>
      <c r="E875">
        <v>51.06</v>
      </c>
      <c r="F875">
        <v>242372</v>
      </c>
      <c r="G875" t="s">
        <v>1132</v>
      </c>
      <c r="H875" t="s">
        <v>1134</v>
      </c>
    </row>
    <row r="876" spans="1:8" x14ac:dyDescent="0.25">
      <c r="A876" t="s">
        <v>16</v>
      </c>
      <c r="B876" t="s">
        <v>982</v>
      </c>
      <c r="C876" t="s">
        <v>1115</v>
      </c>
      <c r="D876" t="s">
        <v>1118</v>
      </c>
      <c r="E876">
        <v>70.97</v>
      </c>
      <c r="F876">
        <v>859101</v>
      </c>
      <c r="G876" t="s">
        <v>1128</v>
      </c>
      <c r="H876" t="s">
        <v>1133</v>
      </c>
    </row>
    <row r="877" spans="1:8" x14ac:dyDescent="0.25">
      <c r="A877" t="s">
        <v>35</v>
      </c>
      <c r="B877" t="s">
        <v>983</v>
      </c>
      <c r="C877" t="s">
        <v>1109</v>
      </c>
      <c r="D877" t="s">
        <v>1119</v>
      </c>
      <c r="E877">
        <v>71.53</v>
      </c>
      <c r="F877">
        <v>955320</v>
      </c>
      <c r="G877" t="s">
        <v>1129</v>
      </c>
      <c r="H877" t="s">
        <v>1133</v>
      </c>
    </row>
    <row r="878" spans="1:8" x14ac:dyDescent="0.25">
      <c r="A878" t="s">
        <v>19</v>
      </c>
      <c r="B878" t="s">
        <v>984</v>
      </c>
      <c r="C878" t="s">
        <v>1109</v>
      </c>
      <c r="D878" t="s">
        <v>1120</v>
      </c>
      <c r="E878">
        <v>60.56</v>
      </c>
      <c r="F878">
        <v>279487</v>
      </c>
      <c r="G878" t="s">
        <v>1128</v>
      </c>
      <c r="H878" t="s">
        <v>1134</v>
      </c>
    </row>
    <row r="879" spans="1:8" x14ac:dyDescent="0.25">
      <c r="A879" t="s">
        <v>23</v>
      </c>
      <c r="B879" t="s">
        <v>985</v>
      </c>
      <c r="C879" t="s">
        <v>1110</v>
      </c>
      <c r="D879" t="s">
        <v>1124</v>
      </c>
      <c r="E879">
        <v>42.11</v>
      </c>
      <c r="F879">
        <v>363420</v>
      </c>
      <c r="G879" t="s">
        <v>1130</v>
      </c>
      <c r="H879" t="s">
        <v>1133</v>
      </c>
    </row>
    <row r="880" spans="1:8" x14ac:dyDescent="0.25">
      <c r="A880" t="s">
        <v>92</v>
      </c>
      <c r="B880" t="s">
        <v>986</v>
      </c>
      <c r="C880" t="s">
        <v>1117</v>
      </c>
      <c r="D880" t="s">
        <v>1121</v>
      </c>
      <c r="E880">
        <v>92.24</v>
      </c>
      <c r="F880">
        <v>241327</v>
      </c>
      <c r="G880" t="s">
        <v>1131</v>
      </c>
      <c r="H880" t="s">
        <v>1134</v>
      </c>
    </row>
    <row r="881" spans="1:8" x14ac:dyDescent="0.25">
      <c r="A881" t="s">
        <v>107</v>
      </c>
      <c r="B881" t="s">
        <v>987</v>
      </c>
      <c r="C881" t="s">
        <v>1110</v>
      </c>
      <c r="D881" t="s">
        <v>1125</v>
      </c>
      <c r="E881">
        <v>52.2</v>
      </c>
      <c r="F881">
        <v>921377</v>
      </c>
      <c r="G881" t="s">
        <v>1132</v>
      </c>
      <c r="H881" t="s">
        <v>1133</v>
      </c>
    </row>
    <row r="882" spans="1:8" x14ac:dyDescent="0.25">
      <c r="A882" t="s">
        <v>73</v>
      </c>
      <c r="B882" t="s">
        <v>988</v>
      </c>
      <c r="C882" t="s">
        <v>1113</v>
      </c>
      <c r="D882" t="s">
        <v>1118</v>
      </c>
      <c r="E882">
        <v>77.52</v>
      </c>
      <c r="F882">
        <v>531981</v>
      </c>
      <c r="G882" t="s">
        <v>1128</v>
      </c>
      <c r="H882" t="s">
        <v>1133</v>
      </c>
    </row>
    <row r="883" spans="1:8" x14ac:dyDescent="0.25">
      <c r="A883" t="s">
        <v>58</v>
      </c>
      <c r="B883" t="s">
        <v>989</v>
      </c>
      <c r="C883" t="s">
        <v>1113</v>
      </c>
      <c r="D883" t="s">
        <v>1125</v>
      </c>
      <c r="E883">
        <v>65.739999999999995</v>
      </c>
      <c r="F883">
        <v>171504</v>
      </c>
      <c r="G883" t="s">
        <v>1128</v>
      </c>
      <c r="H883" t="s">
        <v>1133</v>
      </c>
    </row>
    <row r="884" spans="1:8" x14ac:dyDescent="0.25">
      <c r="A884" t="s">
        <v>11</v>
      </c>
      <c r="B884" t="s">
        <v>990</v>
      </c>
      <c r="C884" t="s">
        <v>1114</v>
      </c>
      <c r="D884" t="s">
        <v>1127</v>
      </c>
      <c r="E884">
        <v>37.15</v>
      </c>
      <c r="F884">
        <v>554878</v>
      </c>
      <c r="G884" t="s">
        <v>1132</v>
      </c>
      <c r="H884" t="s">
        <v>1133</v>
      </c>
    </row>
    <row r="885" spans="1:8" x14ac:dyDescent="0.25">
      <c r="A885" t="s">
        <v>20</v>
      </c>
      <c r="B885" t="s">
        <v>991</v>
      </c>
      <c r="C885" t="s">
        <v>1109</v>
      </c>
      <c r="D885" t="s">
        <v>1118</v>
      </c>
      <c r="E885">
        <v>38.11</v>
      </c>
      <c r="F885">
        <v>157326</v>
      </c>
      <c r="G885" t="s">
        <v>1131</v>
      </c>
      <c r="H885" t="s">
        <v>1133</v>
      </c>
    </row>
    <row r="886" spans="1:8" x14ac:dyDescent="0.25">
      <c r="A886" t="s">
        <v>55</v>
      </c>
      <c r="B886" t="s">
        <v>992</v>
      </c>
      <c r="C886" t="s">
        <v>1115</v>
      </c>
      <c r="D886" t="s">
        <v>1118</v>
      </c>
      <c r="E886">
        <v>96.65</v>
      </c>
      <c r="F886">
        <v>190371</v>
      </c>
      <c r="G886" t="s">
        <v>1132</v>
      </c>
      <c r="H886" t="s">
        <v>1133</v>
      </c>
    </row>
    <row r="887" spans="1:8" x14ac:dyDescent="0.25">
      <c r="A887" t="s">
        <v>32</v>
      </c>
      <c r="B887" t="s">
        <v>993</v>
      </c>
      <c r="C887" t="s">
        <v>1114</v>
      </c>
      <c r="D887" t="s">
        <v>1126</v>
      </c>
      <c r="E887">
        <v>38.57</v>
      </c>
      <c r="F887">
        <v>199534</v>
      </c>
      <c r="G887" t="s">
        <v>1132</v>
      </c>
      <c r="H887" t="s">
        <v>1134</v>
      </c>
    </row>
    <row r="888" spans="1:8" x14ac:dyDescent="0.25">
      <c r="A888" t="s">
        <v>83</v>
      </c>
      <c r="B888" t="s">
        <v>994</v>
      </c>
      <c r="C888" t="s">
        <v>1111</v>
      </c>
      <c r="D888" t="s">
        <v>1122</v>
      </c>
      <c r="E888">
        <v>86.75</v>
      </c>
      <c r="F888">
        <v>843578</v>
      </c>
      <c r="G888" t="s">
        <v>1130</v>
      </c>
      <c r="H888" t="s">
        <v>1133</v>
      </c>
    </row>
    <row r="889" spans="1:8" x14ac:dyDescent="0.25">
      <c r="A889" t="s">
        <v>18</v>
      </c>
      <c r="B889" t="s">
        <v>995</v>
      </c>
      <c r="C889" t="s">
        <v>1114</v>
      </c>
      <c r="D889" t="s">
        <v>1121</v>
      </c>
      <c r="E889">
        <v>48.05</v>
      </c>
      <c r="F889">
        <v>382290</v>
      </c>
      <c r="G889" t="s">
        <v>1131</v>
      </c>
      <c r="H889" t="s">
        <v>1133</v>
      </c>
    </row>
    <row r="890" spans="1:8" x14ac:dyDescent="0.25">
      <c r="A890" t="s">
        <v>98</v>
      </c>
      <c r="B890" t="s">
        <v>996</v>
      </c>
      <c r="C890" t="s">
        <v>1113</v>
      </c>
      <c r="D890" t="s">
        <v>1124</v>
      </c>
      <c r="E890">
        <v>52.34</v>
      </c>
      <c r="F890">
        <v>966934</v>
      </c>
      <c r="G890" t="s">
        <v>1130</v>
      </c>
      <c r="H890" t="s">
        <v>1133</v>
      </c>
    </row>
    <row r="891" spans="1:8" x14ac:dyDescent="0.25">
      <c r="A891" t="s">
        <v>30</v>
      </c>
      <c r="B891" t="s">
        <v>997</v>
      </c>
      <c r="C891" t="s">
        <v>1115</v>
      </c>
      <c r="D891" t="s">
        <v>1118</v>
      </c>
      <c r="E891">
        <v>76.98</v>
      </c>
      <c r="F891">
        <v>863130</v>
      </c>
      <c r="G891" t="s">
        <v>1130</v>
      </c>
      <c r="H891" t="s">
        <v>1133</v>
      </c>
    </row>
    <row r="892" spans="1:8" x14ac:dyDescent="0.25">
      <c r="A892" t="s">
        <v>8</v>
      </c>
      <c r="B892" t="s">
        <v>998</v>
      </c>
      <c r="C892" t="s">
        <v>1116</v>
      </c>
      <c r="D892" t="s">
        <v>1125</v>
      </c>
      <c r="E892">
        <v>89.25</v>
      </c>
      <c r="F892">
        <v>875307</v>
      </c>
      <c r="G892" t="s">
        <v>1130</v>
      </c>
      <c r="H892" t="s">
        <v>1133</v>
      </c>
    </row>
    <row r="893" spans="1:8" x14ac:dyDescent="0.25">
      <c r="A893" t="s">
        <v>35</v>
      </c>
      <c r="B893" t="s">
        <v>999</v>
      </c>
      <c r="C893" t="s">
        <v>1116</v>
      </c>
      <c r="D893" t="s">
        <v>1125</v>
      </c>
      <c r="E893">
        <v>78.099999999999994</v>
      </c>
      <c r="F893">
        <v>558693</v>
      </c>
      <c r="G893" t="s">
        <v>1132</v>
      </c>
      <c r="H893" t="s">
        <v>1133</v>
      </c>
    </row>
    <row r="894" spans="1:8" x14ac:dyDescent="0.25">
      <c r="A894" t="s">
        <v>14</v>
      </c>
      <c r="B894" t="s">
        <v>1000</v>
      </c>
      <c r="C894" t="s">
        <v>1108</v>
      </c>
      <c r="D894" t="s">
        <v>1125</v>
      </c>
      <c r="E894">
        <v>44.4</v>
      </c>
      <c r="F894">
        <v>886004</v>
      </c>
      <c r="G894" t="s">
        <v>1132</v>
      </c>
      <c r="H894" t="s">
        <v>1134</v>
      </c>
    </row>
    <row r="895" spans="1:8" x14ac:dyDescent="0.25">
      <c r="A895" t="s">
        <v>89</v>
      </c>
      <c r="B895" t="s">
        <v>1001</v>
      </c>
      <c r="C895" t="s">
        <v>1110</v>
      </c>
      <c r="D895" t="s">
        <v>1121</v>
      </c>
      <c r="E895">
        <v>50.88</v>
      </c>
      <c r="F895">
        <v>846127</v>
      </c>
      <c r="G895" t="s">
        <v>1131</v>
      </c>
      <c r="H895" t="s">
        <v>1133</v>
      </c>
    </row>
    <row r="896" spans="1:8" x14ac:dyDescent="0.25">
      <c r="A896" t="s">
        <v>53</v>
      </c>
      <c r="B896" t="s">
        <v>1002</v>
      </c>
      <c r="C896" t="s">
        <v>1112</v>
      </c>
      <c r="D896" t="s">
        <v>1118</v>
      </c>
      <c r="E896">
        <v>60.28</v>
      </c>
      <c r="F896">
        <v>280552</v>
      </c>
      <c r="G896" t="s">
        <v>1131</v>
      </c>
      <c r="H896" t="s">
        <v>1134</v>
      </c>
    </row>
    <row r="897" spans="1:8" x14ac:dyDescent="0.25">
      <c r="A897" t="s">
        <v>53</v>
      </c>
      <c r="B897" t="s">
        <v>1003</v>
      </c>
      <c r="C897" t="s">
        <v>1113</v>
      </c>
      <c r="D897" t="s">
        <v>1119</v>
      </c>
      <c r="E897">
        <v>43.33</v>
      </c>
      <c r="F897">
        <v>399197</v>
      </c>
      <c r="G897" t="s">
        <v>1129</v>
      </c>
      <c r="H897" t="s">
        <v>1133</v>
      </c>
    </row>
    <row r="898" spans="1:8" x14ac:dyDescent="0.25">
      <c r="A898" t="s">
        <v>31</v>
      </c>
      <c r="B898" t="s">
        <v>1004</v>
      </c>
      <c r="C898" t="s">
        <v>1113</v>
      </c>
      <c r="D898" t="s">
        <v>1119</v>
      </c>
      <c r="E898">
        <v>80.25</v>
      </c>
      <c r="F898">
        <v>760646</v>
      </c>
      <c r="G898" t="s">
        <v>1130</v>
      </c>
      <c r="H898" t="s">
        <v>1133</v>
      </c>
    </row>
    <row r="899" spans="1:8" x14ac:dyDescent="0.25">
      <c r="A899" t="s">
        <v>95</v>
      </c>
      <c r="B899" t="s">
        <v>1005</v>
      </c>
      <c r="C899" t="s">
        <v>1110</v>
      </c>
      <c r="D899" t="s">
        <v>1119</v>
      </c>
      <c r="E899">
        <v>49.51</v>
      </c>
      <c r="F899">
        <v>255588</v>
      </c>
      <c r="G899" t="s">
        <v>1132</v>
      </c>
      <c r="H899" t="s">
        <v>1133</v>
      </c>
    </row>
    <row r="900" spans="1:8" x14ac:dyDescent="0.25">
      <c r="A900" t="s">
        <v>41</v>
      </c>
      <c r="B900" t="s">
        <v>1006</v>
      </c>
      <c r="C900" t="s">
        <v>1108</v>
      </c>
      <c r="D900" t="s">
        <v>1123</v>
      </c>
      <c r="E900">
        <v>65.5</v>
      </c>
      <c r="F900">
        <v>296799</v>
      </c>
      <c r="G900" t="s">
        <v>1129</v>
      </c>
      <c r="H900" t="s">
        <v>1134</v>
      </c>
    </row>
    <row r="901" spans="1:8" x14ac:dyDescent="0.25">
      <c r="A901" t="s">
        <v>88</v>
      </c>
      <c r="B901" t="s">
        <v>1007</v>
      </c>
      <c r="C901" t="s">
        <v>1116</v>
      </c>
      <c r="D901" t="s">
        <v>1125</v>
      </c>
      <c r="E901">
        <v>76.45</v>
      </c>
      <c r="F901">
        <v>896681</v>
      </c>
      <c r="G901" t="s">
        <v>1132</v>
      </c>
      <c r="H901" t="s">
        <v>1133</v>
      </c>
    </row>
    <row r="902" spans="1:8" x14ac:dyDescent="0.25">
      <c r="A902" t="s">
        <v>34</v>
      </c>
      <c r="B902" t="s">
        <v>1008</v>
      </c>
      <c r="C902" t="s">
        <v>1117</v>
      </c>
      <c r="D902" t="s">
        <v>1126</v>
      </c>
      <c r="E902">
        <v>50.69</v>
      </c>
      <c r="F902">
        <v>876407</v>
      </c>
      <c r="G902" t="s">
        <v>1129</v>
      </c>
      <c r="H902" t="s">
        <v>1133</v>
      </c>
    </row>
    <row r="903" spans="1:8" x14ac:dyDescent="0.25">
      <c r="A903" t="s">
        <v>93</v>
      </c>
      <c r="B903" t="s">
        <v>1009</v>
      </c>
      <c r="C903" t="s">
        <v>1111</v>
      </c>
      <c r="D903" t="s">
        <v>1122</v>
      </c>
      <c r="E903">
        <v>41.28</v>
      </c>
      <c r="F903">
        <v>227636</v>
      </c>
      <c r="G903" t="s">
        <v>1129</v>
      </c>
      <c r="H903" t="s">
        <v>1134</v>
      </c>
    </row>
    <row r="904" spans="1:8" x14ac:dyDescent="0.25">
      <c r="A904" t="s">
        <v>39</v>
      </c>
      <c r="B904" t="s">
        <v>1010</v>
      </c>
      <c r="C904" t="s">
        <v>1111</v>
      </c>
      <c r="D904" t="s">
        <v>1121</v>
      </c>
      <c r="E904">
        <v>89.36</v>
      </c>
      <c r="F904">
        <v>162678</v>
      </c>
      <c r="G904" t="s">
        <v>1128</v>
      </c>
      <c r="H904" t="s">
        <v>1133</v>
      </c>
    </row>
    <row r="905" spans="1:8" x14ac:dyDescent="0.25">
      <c r="A905" t="s">
        <v>41</v>
      </c>
      <c r="B905" t="s">
        <v>1011</v>
      </c>
      <c r="C905" t="s">
        <v>1108</v>
      </c>
      <c r="D905" t="s">
        <v>1126</v>
      </c>
      <c r="E905">
        <v>37.81</v>
      </c>
      <c r="F905">
        <v>999125</v>
      </c>
      <c r="G905" t="s">
        <v>1130</v>
      </c>
      <c r="H905" t="s">
        <v>1133</v>
      </c>
    </row>
    <row r="906" spans="1:8" x14ac:dyDescent="0.25">
      <c r="A906" t="s">
        <v>83</v>
      </c>
      <c r="B906" t="s">
        <v>1012</v>
      </c>
      <c r="C906" t="s">
        <v>1115</v>
      </c>
      <c r="D906" t="s">
        <v>1119</v>
      </c>
      <c r="E906">
        <v>95.2</v>
      </c>
      <c r="F906">
        <v>199163</v>
      </c>
      <c r="G906" t="s">
        <v>1132</v>
      </c>
      <c r="H906" t="s">
        <v>1133</v>
      </c>
    </row>
    <row r="907" spans="1:8" x14ac:dyDescent="0.25">
      <c r="A907" t="s">
        <v>55</v>
      </c>
      <c r="B907" t="s">
        <v>1013</v>
      </c>
      <c r="C907" t="s">
        <v>1108</v>
      </c>
      <c r="D907" t="s">
        <v>1122</v>
      </c>
      <c r="E907">
        <v>35.56</v>
      </c>
      <c r="F907">
        <v>160726</v>
      </c>
      <c r="G907" t="s">
        <v>1128</v>
      </c>
      <c r="H907" t="s">
        <v>1133</v>
      </c>
    </row>
    <row r="908" spans="1:8" x14ac:dyDescent="0.25">
      <c r="A908" t="s">
        <v>52</v>
      </c>
      <c r="B908" t="s">
        <v>1014</v>
      </c>
      <c r="C908" t="s">
        <v>1117</v>
      </c>
      <c r="D908" t="s">
        <v>1125</v>
      </c>
      <c r="E908">
        <v>71.95</v>
      </c>
      <c r="F908">
        <v>356448</v>
      </c>
      <c r="G908" t="s">
        <v>1131</v>
      </c>
      <c r="H908" t="s">
        <v>1133</v>
      </c>
    </row>
    <row r="909" spans="1:8" x14ac:dyDescent="0.25">
      <c r="A909" t="s">
        <v>30</v>
      </c>
      <c r="B909" t="s">
        <v>1015</v>
      </c>
      <c r="C909" t="s">
        <v>1108</v>
      </c>
      <c r="D909" t="s">
        <v>1121</v>
      </c>
      <c r="E909">
        <v>55.51</v>
      </c>
      <c r="F909">
        <v>201501</v>
      </c>
      <c r="G909" t="s">
        <v>1128</v>
      </c>
      <c r="H909" t="s">
        <v>1133</v>
      </c>
    </row>
    <row r="910" spans="1:8" x14ac:dyDescent="0.25">
      <c r="A910" t="s">
        <v>45</v>
      </c>
      <c r="B910" t="s">
        <v>1016</v>
      </c>
      <c r="C910" t="s">
        <v>1117</v>
      </c>
      <c r="D910" t="s">
        <v>1127</v>
      </c>
      <c r="E910">
        <v>39.479999999999997</v>
      </c>
      <c r="F910">
        <v>316505</v>
      </c>
      <c r="G910" t="s">
        <v>1130</v>
      </c>
      <c r="H910" t="s">
        <v>1134</v>
      </c>
    </row>
    <row r="911" spans="1:8" x14ac:dyDescent="0.25">
      <c r="A911" t="s">
        <v>19</v>
      </c>
      <c r="B911" t="s">
        <v>1017</v>
      </c>
      <c r="C911" t="s">
        <v>1115</v>
      </c>
      <c r="D911" t="s">
        <v>1126</v>
      </c>
      <c r="E911">
        <v>54.03</v>
      </c>
      <c r="F911">
        <v>417073</v>
      </c>
      <c r="G911" t="s">
        <v>1131</v>
      </c>
      <c r="H911" t="s">
        <v>1133</v>
      </c>
    </row>
    <row r="912" spans="1:8" x14ac:dyDescent="0.25">
      <c r="A912" t="s">
        <v>72</v>
      </c>
      <c r="B912" t="s">
        <v>1018</v>
      </c>
      <c r="C912" t="s">
        <v>1114</v>
      </c>
      <c r="D912" t="s">
        <v>1120</v>
      </c>
      <c r="E912">
        <v>82.8</v>
      </c>
      <c r="F912">
        <v>478927</v>
      </c>
      <c r="G912" t="s">
        <v>1128</v>
      </c>
      <c r="H912" t="s">
        <v>1133</v>
      </c>
    </row>
    <row r="913" spans="1:8" x14ac:dyDescent="0.25">
      <c r="A913" t="s">
        <v>104</v>
      </c>
      <c r="B913" t="s">
        <v>1019</v>
      </c>
      <c r="C913" t="s">
        <v>1109</v>
      </c>
      <c r="D913" t="s">
        <v>1120</v>
      </c>
      <c r="E913">
        <v>49.28</v>
      </c>
      <c r="F913">
        <v>919078</v>
      </c>
      <c r="G913" t="s">
        <v>1128</v>
      </c>
      <c r="H913" t="s">
        <v>1134</v>
      </c>
    </row>
    <row r="914" spans="1:8" x14ac:dyDescent="0.25">
      <c r="A914" t="s">
        <v>57</v>
      </c>
      <c r="B914" t="s">
        <v>1020</v>
      </c>
      <c r="C914" t="s">
        <v>1117</v>
      </c>
      <c r="D914" t="s">
        <v>1126</v>
      </c>
      <c r="E914">
        <v>40.869999999999997</v>
      </c>
      <c r="F914">
        <v>774252</v>
      </c>
      <c r="G914" t="s">
        <v>1131</v>
      </c>
      <c r="H914" t="s">
        <v>1134</v>
      </c>
    </row>
    <row r="915" spans="1:8" x14ac:dyDescent="0.25">
      <c r="A915" t="s">
        <v>83</v>
      </c>
      <c r="B915" t="s">
        <v>1021</v>
      </c>
      <c r="C915" t="s">
        <v>1108</v>
      </c>
      <c r="D915" t="s">
        <v>1122</v>
      </c>
      <c r="E915">
        <v>97.28</v>
      </c>
      <c r="F915">
        <v>744973</v>
      </c>
      <c r="G915" t="s">
        <v>1130</v>
      </c>
      <c r="H915" t="s">
        <v>1133</v>
      </c>
    </row>
    <row r="916" spans="1:8" x14ac:dyDescent="0.25">
      <c r="A916" t="s">
        <v>22</v>
      </c>
      <c r="B916" t="s">
        <v>1022</v>
      </c>
      <c r="C916" t="s">
        <v>1116</v>
      </c>
      <c r="D916" t="s">
        <v>1119</v>
      </c>
      <c r="E916">
        <v>94.71</v>
      </c>
      <c r="F916">
        <v>319721</v>
      </c>
      <c r="G916" t="s">
        <v>1131</v>
      </c>
      <c r="H916" t="s">
        <v>1133</v>
      </c>
    </row>
    <row r="917" spans="1:8" x14ac:dyDescent="0.25">
      <c r="A917" t="s">
        <v>17</v>
      </c>
      <c r="B917" t="s">
        <v>1023</v>
      </c>
      <c r="C917" t="s">
        <v>1115</v>
      </c>
      <c r="D917" t="s">
        <v>1120</v>
      </c>
      <c r="E917">
        <v>76.69</v>
      </c>
      <c r="F917">
        <v>274517</v>
      </c>
      <c r="G917" t="s">
        <v>1128</v>
      </c>
      <c r="H917" t="s">
        <v>1133</v>
      </c>
    </row>
    <row r="918" spans="1:8" x14ac:dyDescent="0.25">
      <c r="A918" t="s">
        <v>69</v>
      </c>
      <c r="B918" t="s">
        <v>1024</v>
      </c>
      <c r="C918" t="s">
        <v>1114</v>
      </c>
      <c r="D918" t="s">
        <v>1127</v>
      </c>
      <c r="E918">
        <v>95.56</v>
      </c>
      <c r="F918">
        <v>233958</v>
      </c>
      <c r="G918" t="s">
        <v>1130</v>
      </c>
      <c r="H918" t="s">
        <v>1134</v>
      </c>
    </row>
    <row r="919" spans="1:8" x14ac:dyDescent="0.25">
      <c r="A919" t="s">
        <v>91</v>
      </c>
      <c r="B919" t="s">
        <v>1025</v>
      </c>
      <c r="C919" t="s">
        <v>1111</v>
      </c>
      <c r="D919" t="s">
        <v>1123</v>
      </c>
      <c r="E919">
        <v>78.75</v>
      </c>
      <c r="F919">
        <v>670478</v>
      </c>
      <c r="G919" t="s">
        <v>1128</v>
      </c>
      <c r="H919" t="s">
        <v>1133</v>
      </c>
    </row>
    <row r="920" spans="1:8" x14ac:dyDescent="0.25">
      <c r="A920" t="s">
        <v>99</v>
      </c>
      <c r="B920" t="s">
        <v>1026</v>
      </c>
      <c r="C920" t="s">
        <v>1110</v>
      </c>
      <c r="D920" t="s">
        <v>1118</v>
      </c>
      <c r="E920">
        <v>63.21</v>
      </c>
      <c r="F920">
        <v>840105</v>
      </c>
      <c r="G920" t="s">
        <v>1129</v>
      </c>
      <c r="H920" t="s">
        <v>1133</v>
      </c>
    </row>
    <row r="921" spans="1:8" x14ac:dyDescent="0.25">
      <c r="A921" t="s">
        <v>101</v>
      </c>
      <c r="B921" t="s">
        <v>1027</v>
      </c>
      <c r="C921" t="s">
        <v>1116</v>
      </c>
      <c r="D921" t="s">
        <v>1118</v>
      </c>
      <c r="E921">
        <v>97.23</v>
      </c>
      <c r="F921">
        <v>123599</v>
      </c>
      <c r="G921" t="s">
        <v>1129</v>
      </c>
      <c r="H921" t="s">
        <v>1133</v>
      </c>
    </row>
    <row r="922" spans="1:8" x14ac:dyDescent="0.25">
      <c r="A922" t="s">
        <v>87</v>
      </c>
      <c r="B922" t="s">
        <v>1028</v>
      </c>
      <c r="C922" t="s">
        <v>1116</v>
      </c>
      <c r="D922" t="s">
        <v>1119</v>
      </c>
      <c r="E922">
        <v>44.78</v>
      </c>
      <c r="F922">
        <v>579390</v>
      </c>
      <c r="G922" t="s">
        <v>1132</v>
      </c>
      <c r="H922" t="s">
        <v>1133</v>
      </c>
    </row>
    <row r="923" spans="1:8" x14ac:dyDescent="0.25">
      <c r="A923" t="s">
        <v>64</v>
      </c>
      <c r="B923" t="s">
        <v>1029</v>
      </c>
      <c r="C923" t="s">
        <v>1114</v>
      </c>
      <c r="D923" t="s">
        <v>1119</v>
      </c>
      <c r="E923">
        <v>92.63</v>
      </c>
      <c r="F923">
        <v>170965</v>
      </c>
      <c r="G923" t="s">
        <v>1130</v>
      </c>
      <c r="H923" t="s">
        <v>1133</v>
      </c>
    </row>
    <row r="924" spans="1:8" x14ac:dyDescent="0.25">
      <c r="A924" t="s">
        <v>71</v>
      </c>
      <c r="B924" t="s">
        <v>1030</v>
      </c>
      <c r="C924" t="s">
        <v>1110</v>
      </c>
      <c r="D924" t="s">
        <v>1125</v>
      </c>
      <c r="E924">
        <v>91.62</v>
      </c>
      <c r="F924">
        <v>520100</v>
      </c>
      <c r="G924" t="s">
        <v>1130</v>
      </c>
      <c r="H924" t="s">
        <v>1133</v>
      </c>
    </row>
    <row r="925" spans="1:8" x14ac:dyDescent="0.25">
      <c r="A925" t="s">
        <v>106</v>
      </c>
      <c r="B925" t="s">
        <v>1031</v>
      </c>
      <c r="C925" t="s">
        <v>1111</v>
      </c>
      <c r="D925" t="s">
        <v>1122</v>
      </c>
      <c r="E925">
        <v>96.07</v>
      </c>
      <c r="F925">
        <v>669979</v>
      </c>
      <c r="G925" t="s">
        <v>1132</v>
      </c>
      <c r="H925" t="s">
        <v>1133</v>
      </c>
    </row>
    <row r="926" spans="1:8" x14ac:dyDescent="0.25">
      <c r="A926" t="s">
        <v>101</v>
      </c>
      <c r="B926" t="s">
        <v>1032</v>
      </c>
      <c r="C926" t="s">
        <v>1110</v>
      </c>
      <c r="D926" t="s">
        <v>1125</v>
      </c>
      <c r="E926">
        <v>91.54</v>
      </c>
      <c r="F926">
        <v>472670</v>
      </c>
      <c r="G926" t="s">
        <v>1128</v>
      </c>
      <c r="H926" t="s">
        <v>1133</v>
      </c>
    </row>
    <row r="927" spans="1:8" x14ac:dyDescent="0.25">
      <c r="A927" t="s">
        <v>62</v>
      </c>
      <c r="B927" t="s">
        <v>1033</v>
      </c>
      <c r="C927" t="s">
        <v>1111</v>
      </c>
      <c r="D927" t="s">
        <v>1119</v>
      </c>
      <c r="E927">
        <v>62.31</v>
      </c>
      <c r="F927">
        <v>742485</v>
      </c>
      <c r="G927" t="s">
        <v>1131</v>
      </c>
      <c r="H927" t="s">
        <v>1133</v>
      </c>
    </row>
    <row r="928" spans="1:8" x14ac:dyDescent="0.25">
      <c r="A928" t="s">
        <v>17</v>
      </c>
      <c r="B928" t="s">
        <v>1034</v>
      </c>
      <c r="C928" t="s">
        <v>1112</v>
      </c>
      <c r="D928" t="s">
        <v>1122</v>
      </c>
      <c r="E928">
        <v>40.590000000000003</v>
      </c>
      <c r="F928">
        <v>289954</v>
      </c>
      <c r="G928" t="s">
        <v>1128</v>
      </c>
      <c r="H928" t="s">
        <v>1134</v>
      </c>
    </row>
    <row r="929" spans="1:8" x14ac:dyDescent="0.25">
      <c r="A929" t="s">
        <v>28</v>
      </c>
      <c r="B929" t="s">
        <v>1035</v>
      </c>
      <c r="C929" t="s">
        <v>1110</v>
      </c>
      <c r="D929" t="s">
        <v>1127</v>
      </c>
      <c r="E929">
        <v>87.22</v>
      </c>
      <c r="F929">
        <v>576983</v>
      </c>
      <c r="G929" t="s">
        <v>1129</v>
      </c>
      <c r="H929" t="s">
        <v>1133</v>
      </c>
    </row>
    <row r="930" spans="1:8" x14ac:dyDescent="0.25">
      <c r="A930" t="s">
        <v>33</v>
      </c>
      <c r="B930" t="s">
        <v>1036</v>
      </c>
      <c r="C930" t="s">
        <v>1117</v>
      </c>
      <c r="D930" t="s">
        <v>1118</v>
      </c>
      <c r="E930">
        <v>58.43</v>
      </c>
      <c r="F930">
        <v>638557</v>
      </c>
      <c r="G930" t="s">
        <v>1128</v>
      </c>
      <c r="H930" t="s">
        <v>1134</v>
      </c>
    </row>
    <row r="931" spans="1:8" x14ac:dyDescent="0.25">
      <c r="A931" t="s">
        <v>89</v>
      </c>
      <c r="B931" t="s">
        <v>1037</v>
      </c>
      <c r="C931" t="s">
        <v>1112</v>
      </c>
      <c r="D931" t="s">
        <v>1123</v>
      </c>
      <c r="E931">
        <v>59.24</v>
      </c>
      <c r="F931">
        <v>663350</v>
      </c>
      <c r="G931" t="s">
        <v>1131</v>
      </c>
      <c r="H931" t="s">
        <v>1134</v>
      </c>
    </row>
    <row r="932" spans="1:8" x14ac:dyDescent="0.25">
      <c r="A932" t="s">
        <v>90</v>
      </c>
      <c r="B932" t="s">
        <v>1038</v>
      </c>
      <c r="C932" t="s">
        <v>1112</v>
      </c>
      <c r="D932" t="s">
        <v>1124</v>
      </c>
      <c r="E932">
        <v>82.94</v>
      </c>
      <c r="F932">
        <v>982713</v>
      </c>
      <c r="G932" t="s">
        <v>1132</v>
      </c>
      <c r="H932" t="s">
        <v>1133</v>
      </c>
    </row>
    <row r="933" spans="1:8" x14ac:dyDescent="0.25">
      <c r="A933" t="s">
        <v>43</v>
      </c>
      <c r="B933" t="s">
        <v>1039</v>
      </c>
      <c r="C933" t="s">
        <v>1108</v>
      </c>
      <c r="D933" t="s">
        <v>1120</v>
      </c>
      <c r="E933">
        <v>68.31</v>
      </c>
      <c r="F933">
        <v>935316</v>
      </c>
      <c r="G933" t="s">
        <v>1132</v>
      </c>
      <c r="H933" t="s">
        <v>1133</v>
      </c>
    </row>
    <row r="934" spans="1:8" x14ac:dyDescent="0.25">
      <c r="A934" t="s">
        <v>39</v>
      </c>
      <c r="B934" t="s">
        <v>1040</v>
      </c>
      <c r="C934" t="s">
        <v>1108</v>
      </c>
      <c r="D934" t="s">
        <v>1127</v>
      </c>
      <c r="E934">
        <v>77.36</v>
      </c>
      <c r="F934">
        <v>715476</v>
      </c>
      <c r="G934" t="s">
        <v>1128</v>
      </c>
      <c r="H934" t="s">
        <v>1133</v>
      </c>
    </row>
    <row r="935" spans="1:8" x14ac:dyDescent="0.25">
      <c r="A935" t="s">
        <v>10</v>
      </c>
      <c r="B935" t="s">
        <v>1041</v>
      </c>
      <c r="C935" t="s">
        <v>1114</v>
      </c>
      <c r="D935" t="s">
        <v>1124</v>
      </c>
      <c r="E935">
        <v>96.6</v>
      </c>
      <c r="F935">
        <v>387724</v>
      </c>
      <c r="G935" t="s">
        <v>1131</v>
      </c>
      <c r="H935" t="s">
        <v>1134</v>
      </c>
    </row>
    <row r="936" spans="1:8" x14ac:dyDescent="0.25">
      <c r="A936" t="s">
        <v>63</v>
      </c>
      <c r="B936" t="s">
        <v>1042</v>
      </c>
      <c r="C936" t="s">
        <v>1116</v>
      </c>
      <c r="D936" t="s">
        <v>1123</v>
      </c>
      <c r="E936">
        <v>97.53</v>
      </c>
      <c r="F936">
        <v>188883</v>
      </c>
      <c r="G936" t="s">
        <v>1131</v>
      </c>
      <c r="H936" t="s">
        <v>1133</v>
      </c>
    </row>
    <row r="937" spans="1:8" x14ac:dyDescent="0.25">
      <c r="A937" t="s">
        <v>102</v>
      </c>
      <c r="B937" t="s">
        <v>1043</v>
      </c>
      <c r="C937" t="s">
        <v>1115</v>
      </c>
      <c r="D937" t="s">
        <v>1126</v>
      </c>
      <c r="E937">
        <v>59.88</v>
      </c>
      <c r="F937">
        <v>937322</v>
      </c>
      <c r="G937" t="s">
        <v>1129</v>
      </c>
      <c r="H937" t="s">
        <v>1133</v>
      </c>
    </row>
    <row r="938" spans="1:8" x14ac:dyDescent="0.25">
      <c r="A938" t="s">
        <v>29</v>
      </c>
      <c r="B938" t="s">
        <v>1044</v>
      </c>
      <c r="C938" t="s">
        <v>1108</v>
      </c>
      <c r="D938" t="s">
        <v>1120</v>
      </c>
      <c r="E938">
        <v>78.739999999999995</v>
      </c>
      <c r="F938">
        <v>815077</v>
      </c>
      <c r="G938" t="s">
        <v>1131</v>
      </c>
      <c r="H938" t="s">
        <v>1133</v>
      </c>
    </row>
    <row r="939" spans="1:8" x14ac:dyDescent="0.25">
      <c r="A939" t="s">
        <v>89</v>
      </c>
      <c r="B939" t="s">
        <v>1045</v>
      </c>
      <c r="C939" t="s">
        <v>1109</v>
      </c>
      <c r="D939" t="s">
        <v>1126</v>
      </c>
      <c r="E939">
        <v>61.79</v>
      </c>
      <c r="F939">
        <v>147070</v>
      </c>
      <c r="G939" t="s">
        <v>1128</v>
      </c>
      <c r="H939" t="s">
        <v>1133</v>
      </c>
    </row>
    <row r="940" spans="1:8" x14ac:dyDescent="0.25">
      <c r="A940" t="s">
        <v>21</v>
      </c>
      <c r="B940" t="s">
        <v>1046</v>
      </c>
      <c r="C940" t="s">
        <v>1114</v>
      </c>
      <c r="D940" t="s">
        <v>1124</v>
      </c>
      <c r="E940">
        <v>47.42</v>
      </c>
      <c r="F940">
        <v>972815</v>
      </c>
      <c r="G940" t="s">
        <v>1132</v>
      </c>
      <c r="H940" t="s">
        <v>1133</v>
      </c>
    </row>
    <row r="941" spans="1:8" x14ac:dyDescent="0.25">
      <c r="A941" t="s">
        <v>92</v>
      </c>
      <c r="B941" t="s">
        <v>1047</v>
      </c>
      <c r="C941" t="s">
        <v>1109</v>
      </c>
      <c r="D941" t="s">
        <v>1118</v>
      </c>
      <c r="E941">
        <v>50.81</v>
      </c>
      <c r="F941">
        <v>996575</v>
      </c>
      <c r="G941" t="s">
        <v>1129</v>
      </c>
      <c r="H941" t="s">
        <v>1133</v>
      </c>
    </row>
    <row r="942" spans="1:8" x14ac:dyDescent="0.25">
      <c r="A942" t="s">
        <v>103</v>
      </c>
      <c r="B942" t="s">
        <v>1048</v>
      </c>
      <c r="C942" t="s">
        <v>1114</v>
      </c>
      <c r="D942" t="s">
        <v>1125</v>
      </c>
      <c r="E942">
        <v>38.770000000000003</v>
      </c>
      <c r="F942">
        <v>156864</v>
      </c>
      <c r="G942" t="s">
        <v>1129</v>
      </c>
      <c r="H942" t="s">
        <v>1134</v>
      </c>
    </row>
    <row r="943" spans="1:8" x14ac:dyDescent="0.25">
      <c r="A943" t="s">
        <v>95</v>
      </c>
      <c r="B943" t="s">
        <v>1049</v>
      </c>
      <c r="C943" t="s">
        <v>1112</v>
      </c>
      <c r="D943" t="s">
        <v>1124</v>
      </c>
      <c r="E943">
        <v>88.84</v>
      </c>
      <c r="F943">
        <v>616643</v>
      </c>
      <c r="G943" t="s">
        <v>1129</v>
      </c>
      <c r="H943" t="s">
        <v>1133</v>
      </c>
    </row>
    <row r="944" spans="1:8" x14ac:dyDescent="0.25">
      <c r="A944" t="s">
        <v>44</v>
      </c>
      <c r="B944" t="s">
        <v>1050</v>
      </c>
      <c r="C944" t="s">
        <v>1117</v>
      </c>
      <c r="D944" t="s">
        <v>1119</v>
      </c>
      <c r="E944">
        <v>90.82</v>
      </c>
      <c r="F944">
        <v>498427</v>
      </c>
      <c r="G944" t="s">
        <v>1131</v>
      </c>
      <c r="H944" t="s">
        <v>1133</v>
      </c>
    </row>
    <row r="945" spans="1:8" x14ac:dyDescent="0.25">
      <c r="A945" t="s">
        <v>40</v>
      </c>
      <c r="B945" t="s">
        <v>1051</v>
      </c>
      <c r="C945" t="s">
        <v>1109</v>
      </c>
      <c r="D945" t="s">
        <v>1119</v>
      </c>
      <c r="E945">
        <v>76.11</v>
      </c>
      <c r="F945">
        <v>691217</v>
      </c>
      <c r="G945" t="s">
        <v>1132</v>
      </c>
      <c r="H945" t="s">
        <v>1133</v>
      </c>
    </row>
    <row r="946" spans="1:8" x14ac:dyDescent="0.25">
      <c r="A946" t="s">
        <v>40</v>
      </c>
      <c r="B946" t="s">
        <v>1052</v>
      </c>
      <c r="C946" t="s">
        <v>1115</v>
      </c>
      <c r="D946" t="s">
        <v>1127</v>
      </c>
      <c r="E946">
        <v>40.549999999999997</v>
      </c>
      <c r="F946">
        <v>902056</v>
      </c>
      <c r="G946" t="s">
        <v>1129</v>
      </c>
      <c r="H946" t="s">
        <v>1133</v>
      </c>
    </row>
    <row r="947" spans="1:8" x14ac:dyDescent="0.25">
      <c r="A947" t="s">
        <v>48</v>
      </c>
      <c r="B947" t="s">
        <v>1053</v>
      </c>
      <c r="C947" t="s">
        <v>1116</v>
      </c>
      <c r="D947" t="s">
        <v>1121</v>
      </c>
      <c r="E947">
        <v>58.7</v>
      </c>
      <c r="F947">
        <v>401635</v>
      </c>
      <c r="G947" t="s">
        <v>1128</v>
      </c>
      <c r="H947" t="s">
        <v>1134</v>
      </c>
    </row>
    <row r="948" spans="1:8" x14ac:dyDescent="0.25">
      <c r="A948" t="s">
        <v>71</v>
      </c>
      <c r="B948" t="s">
        <v>1054</v>
      </c>
      <c r="C948" t="s">
        <v>1108</v>
      </c>
      <c r="D948" t="s">
        <v>1127</v>
      </c>
      <c r="E948">
        <v>58.19</v>
      </c>
      <c r="F948">
        <v>254603</v>
      </c>
      <c r="G948" t="s">
        <v>1132</v>
      </c>
      <c r="H948" t="s">
        <v>1134</v>
      </c>
    </row>
    <row r="949" spans="1:8" x14ac:dyDescent="0.25">
      <c r="A949" t="s">
        <v>24</v>
      </c>
      <c r="B949" t="s">
        <v>1055</v>
      </c>
      <c r="C949" t="s">
        <v>1115</v>
      </c>
      <c r="D949" t="s">
        <v>1122</v>
      </c>
      <c r="E949">
        <v>89.83</v>
      </c>
      <c r="F949">
        <v>876260</v>
      </c>
      <c r="G949" t="s">
        <v>1132</v>
      </c>
      <c r="H949" t="s">
        <v>1133</v>
      </c>
    </row>
    <row r="950" spans="1:8" x14ac:dyDescent="0.25">
      <c r="A950" t="s">
        <v>94</v>
      </c>
      <c r="B950" t="s">
        <v>1056</v>
      </c>
      <c r="C950" t="s">
        <v>1114</v>
      </c>
      <c r="D950" t="s">
        <v>1118</v>
      </c>
      <c r="E950">
        <v>92.91</v>
      </c>
      <c r="F950">
        <v>980663</v>
      </c>
      <c r="G950" t="s">
        <v>1130</v>
      </c>
      <c r="H950" t="s">
        <v>1133</v>
      </c>
    </row>
    <row r="951" spans="1:8" x14ac:dyDescent="0.25">
      <c r="A951" t="s">
        <v>29</v>
      </c>
      <c r="B951" t="s">
        <v>1057</v>
      </c>
      <c r="C951" t="s">
        <v>1116</v>
      </c>
      <c r="D951" t="s">
        <v>1119</v>
      </c>
      <c r="E951">
        <v>43.31</v>
      </c>
      <c r="F951">
        <v>863570</v>
      </c>
      <c r="G951" t="s">
        <v>1132</v>
      </c>
      <c r="H951" t="s">
        <v>1133</v>
      </c>
    </row>
    <row r="952" spans="1:8" x14ac:dyDescent="0.25">
      <c r="A952" t="s">
        <v>82</v>
      </c>
      <c r="B952" t="s">
        <v>1058</v>
      </c>
      <c r="C952" t="s">
        <v>1112</v>
      </c>
      <c r="D952" t="s">
        <v>1127</v>
      </c>
      <c r="E952">
        <v>71.650000000000006</v>
      </c>
      <c r="F952">
        <v>345281</v>
      </c>
      <c r="G952" t="s">
        <v>1132</v>
      </c>
      <c r="H952" t="s">
        <v>1133</v>
      </c>
    </row>
    <row r="953" spans="1:8" x14ac:dyDescent="0.25">
      <c r="A953" t="s">
        <v>23</v>
      </c>
      <c r="B953" t="s">
        <v>1059</v>
      </c>
      <c r="C953" t="s">
        <v>1115</v>
      </c>
      <c r="D953" t="s">
        <v>1124</v>
      </c>
      <c r="E953">
        <v>59.64</v>
      </c>
      <c r="F953">
        <v>727743</v>
      </c>
      <c r="G953" t="s">
        <v>1129</v>
      </c>
      <c r="H953" t="s">
        <v>1134</v>
      </c>
    </row>
    <row r="954" spans="1:8" x14ac:dyDescent="0.25">
      <c r="A954" t="s">
        <v>59</v>
      </c>
      <c r="B954" t="s">
        <v>1060</v>
      </c>
      <c r="C954" t="s">
        <v>1108</v>
      </c>
      <c r="D954" t="s">
        <v>1121</v>
      </c>
      <c r="E954">
        <v>48.62</v>
      </c>
      <c r="F954">
        <v>462702</v>
      </c>
      <c r="G954" t="s">
        <v>1128</v>
      </c>
      <c r="H954" t="s">
        <v>1134</v>
      </c>
    </row>
    <row r="955" spans="1:8" x14ac:dyDescent="0.25">
      <c r="A955" t="s">
        <v>12</v>
      </c>
      <c r="B955" t="s">
        <v>1061</v>
      </c>
      <c r="C955" t="s">
        <v>1108</v>
      </c>
      <c r="D955" t="s">
        <v>1121</v>
      </c>
      <c r="E955">
        <v>45.51</v>
      </c>
      <c r="F955">
        <v>690183</v>
      </c>
      <c r="G955" t="s">
        <v>1132</v>
      </c>
      <c r="H955" t="s">
        <v>1133</v>
      </c>
    </row>
    <row r="956" spans="1:8" x14ac:dyDescent="0.25">
      <c r="A956" t="s">
        <v>76</v>
      </c>
      <c r="B956" t="s">
        <v>1062</v>
      </c>
      <c r="C956" t="s">
        <v>1117</v>
      </c>
      <c r="D956" t="s">
        <v>1121</v>
      </c>
      <c r="E956">
        <v>74.760000000000005</v>
      </c>
      <c r="F956">
        <v>595930</v>
      </c>
      <c r="G956" t="s">
        <v>1131</v>
      </c>
      <c r="H956" t="s">
        <v>1134</v>
      </c>
    </row>
    <row r="957" spans="1:8" x14ac:dyDescent="0.25">
      <c r="A957" t="s">
        <v>37</v>
      </c>
      <c r="B957" t="s">
        <v>1063</v>
      </c>
      <c r="C957" t="s">
        <v>1115</v>
      </c>
      <c r="D957" t="s">
        <v>1124</v>
      </c>
      <c r="E957">
        <v>44.08</v>
      </c>
      <c r="F957">
        <v>790849</v>
      </c>
      <c r="G957" t="s">
        <v>1131</v>
      </c>
      <c r="H957" t="s">
        <v>1133</v>
      </c>
    </row>
    <row r="958" spans="1:8" x14ac:dyDescent="0.25">
      <c r="A958" t="s">
        <v>44</v>
      </c>
      <c r="B958" t="s">
        <v>1064</v>
      </c>
      <c r="C958" t="s">
        <v>1109</v>
      </c>
      <c r="D958" t="s">
        <v>1124</v>
      </c>
      <c r="E958">
        <v>42.29</v>
      </c>
      <c r="F958">
        <v>173594</v>
      </c>
      <c r="G958" t="s">
        <v>1129</v>
      </c>
      <c r="H958" t="s">
        <v>1133</v>
      </c>
    </row>
    <row r="959" spans="1:8" x14ac:dyDescent="0.25">
      <c r="A959" t="s">
        <v>94</v>
      </c>
      <c r="B959" t="s">
        <v>1065</v>
      </c>
      <c r="C959" t="s">
        <v>1112</v>
      </c>
      <c r="D959" t="s">
        <v>1121</v>
      </c>
      <c r="E959">
        <v>81.42</v>
      </c>
      <c r="F959">
        <v>671538</v>
      </c>
      <c r="G959" t="s">
        <v>1129</v>
      </c>
      <c r="H959" t="s">
        <v>1133</v>
      </c>
    </row>
    <row r="960" spans="1:8" x14ac:dyDescent="0.25">
      <c r="A960" t="s">
        <v>37</v>
      </c>
      <c r="B960" t="s">
        <v>1066</v>
      </c>
      <c r="C960" t="s">
        <v>1116</v>
      </c>
      <c r="D960" t="s">
        <v>1121</v>
      </c>
      <c r="E960">
        <v>54.62</v>
      </c>
      <c r="F960">
        <v>589673</v>
      </c>
      <c r="G960" t="s">
        <v>1128</v>
      </c>
      <c r="H960" t="s">
        <v>1133</v>
      </c>
    </row>
    <row r="961" spans="1:8" x14ac:dyDescent="0.25">
      <c r="A961" t="s">
        <v>30</v>
      </c>
      <c r="B961" t="s">
        <v>1067</v>
      </c>
      <c r="C961" t="s">
        <v>1109</v>
      </c>
      <c r="D961" t="s">
        <v>1118</v>
      </c>
      <c r="E961">
        <v>81.41</v>
      </c>
      <c r="F961">
        <v>284052</v>
      </c>
      <c r="G961" t="s">
        <v>1132</v>
      </c>
      <c r="H961" t="s">
        <v>1134</v>
      </c>
    </row>
    <row r="962" spans="1:8" x14ac:dyDescent="0.25">
      <c r="A962" t="s">
        <v>30</v>
      </c>
      <c r="B962" t="s">
        <v>1068</v>
      </c>
      <c r="C962" t="s">
        <v>1115</v>
      </c>
      <c r="D962" t="s">
        <v>1127</v>
      </c>
      <c r="E962">
        <v>65.38</v>
      </c>
      <c r="F962">
        <v>410664</v>
      </c>
      <c r="G962" t="s">
        <v>1132</v>
      </c>
      <c r="H962" t="s">
        <v>1133</v>
      </c>
    </row>
    <row r="963" spans="1:8" x14ac:dyDescent="0.25">
      <c r="A963" t="s">
        <v>42</v>
      </c>
      <c r="B963" t="s">
        <v>1069</v>
      </c>
      <c r="C963" t="s">
        <v>1108</v>
      </c>
      <c r="D963" t="s">
        <v>1124</v>
      </c>
      <c r="E963">
        <v>93.12</v>
      </c>
      <c r="F963">
        <v>285724</v>
      </c>
      <c r="G963" t="s">
        <v>1132</v>
      </c>
      <c r="H963" t="s">
        <v>1133</v>
      </c>
    </row>
    <row r="964" spans="1:8" x14ac:dyDescent="0.25">
      <c r="A964" t="s">
        <v>37</v>
      </c>
      <c r="B964" t="s">
        <v>1070</v>
      </c>
      <c r="C964" t="s">
        <v>1113</v>
      </c>
      <c r="D964" t="s">
        <v>1122</v>
      </c>
      <c r="E964">
        <v>63.08</v>
      </c>
      <c r="F964">
        <v>473192</v>
      </c>
      <c r="G964" t="s">
        <v>1128</v>
      </c>
      <c r="H964" t="s">
        <v>1134</v>
      </c>
    </row>
    <row r="965" spans="1:8" x14ac:dyDescent="0.25">
      <c r="A965" t="s">
        <v>65</v>
      </c>
      <c r="B965" t="s">
        <v>1071</v>
      </c>
      <c r="C965" t="s">
        <v>1109</v>
      </c>
      <c r="D965" t="s">
        <v>1124</v>
      </c>
      <c r="E965">
        <v>45.29</v>
      </c>
      <c r="F965">
        <v>441462</v>
      </c>
      <c r="G965" t="s">
        <v>1128</v>
      </c>
      <c r="H965" t="s">
        <v>1133</v>
      </c>
    </row>
    <row r="966" spans="1:8" x14ac:dyDescent="0.25">
      <c r="A966" t="s">
        <v>99</v>
      </c>
      <c r="B966" t="s">
        <v>1072</v>
      </c>
      <c r="C966" t="s">
        <v>1110</v>
      </c>
      <c r="D966" t="s">
        <v>1124</v>
      </c>
      <c r="E966">
        <v>83.15</v>
      </c>
      <c r="F966">
        <v>365110</v>
      </c>
      <c r="G966" t="s">
        <v>1129</v>
      </c>
      <c r="H966" t="s">
        <v>1133</v>
      </c>
    </row>
    <row r="967" spans="1:8" x14ac:dyDescent="0.25">
      <c r="A967" t="s">
        <v>105</v>
      </c>
      <c r="B967" t="s">
        <v>1073</v>
      </c>
      <c r="C967" t="s">
        <v>1109</v>
      </c>
      <c r="D967" t="s">
        <v>1124</v>
      </c>
      <c r="E967">
        <v>60.97</v>
      </c>
      <c r="F967">
        <v>452101</v>
      </c>
      <c r="G967" t="s">
        <v>1129</v>
      </c>
      <c r="H967" t="s">
        <v>1133</v>
      </c>
    </row>
    <row r="968" spans="1:8" x14ac:dyDescent="0.25">
      <c r="A968" t="s">
        <v>67</v>
      </c>
      <c r="B968" t="s">
        <v>1074</v>
      </c>
      <c r="C968" t="s">
        <v>1109</v>
      </c>
      <c r="D968" t="s">
        <v>1120</v>
      </c>
      <c r="E968">
        <v>83.92</v>
      </c>
      <c r="F968">
        <v>437870</v>
      </c>
      <c r="G968" t="s">
        <v>1131</v>
      </c>
      <c r="H968" t="s">
        <v>1133</v>
      </c>
    </row>
    <row r="969" spans="1:8" x14ac:dyDescent="0.25">
      <c r="A969" t="s">
        <v>82</v>
      </c>
      <c r="B969" t="s">
        <v>1075</v>
      </c>
      <c r="C969" t="s">
        <v>1108</v>
      </c>
      <c r="D969" t="s">
        <v>1122</v>
      </c>
      <c r="E969">
        <v>67.959999999999994</v>
      </c>
      <c r="F969">
        <v>394451</v>
      </c>
      <c r="G969" t="s">
        <v>1131</v>
      </c>
      <c r="H969" t="s">
        <v>1133</v>
      </c>
    </row>
    <row r="970" spans="1:8" x14ac:dyDescent="0.25">
      <c r="A970" t="s">
        <v>34</v>
      </c>
      <c r="B970" t="s">
        <v>1076</v>
      </c>
      <c r="C970" t="s">
        <v>1116</v>
      </c>
      <c r="D970" t="s">
        <v>1123</v>
      </c>
      <c r="E970">
        <v>56.53</v>
      </c>
      <c r="F970">
        <v>832017</v>
      </c>
      <c r="G970" t="s">
        <v>1128</v>
      </c>
      <c r="H970" t="s">
        <v>1133</v>
      </c>
    </row>
    <row r="971" spans="1:8" x14ac:dyDescent="0.25">
      <c r="A971" t="s">
        <v>100</v>
      </c>
      <c r="B971" t="s">
        <v>1077</v>
      </c>
      <c r="C971" t="s">
        <v>1110</v>
      </c>
      <c r="D971" t="s">
        <v>1124</v>
      </c>
      <c r="E971">
        <v>99.46</v>
      </c>
      <c r="F971">
        <v>258195</v>
      </c>
      <c r="G971" t="s">
        <v>1130</v>
      </c>
      <c r="H971" t="s">
        <v>1134</v>
      </c>
    </row>
    <row r="972" spans="1:8" x14ac:dyDescent="0.25">
      <c r="A972" t="s">
        <v>47</v>
      </c>
      <c r="B972" t="s">
        <v>1078</v>
      </c>
      <c r="C972" t="s">
        <v>1108</v>
      </c>
      <c r="D972" t="s">
        <v>1123</v>
      </c>
      <c r="E972">
        <v>62.96</v>
      </c>
      <c r="F972">
        <v>979972</v>
      </c>
      <c r="G972" t="s">
        <v>1128</v>
      </c>
      <c r="H972" t="s">
        <v>1133</v>
      </c>
    </row>
    <row r="973" spans="1:8" x14ac:dyDescent="0.25">
      <c r="A973" t="s">
        <v>24</v>
      </c>
      <c r="B973" t="s">
        <v>1079</v>
      </c>
      <c r="C973" t="s">
        <v>1108</v>
      </c>
      <c r="D973" t="s">
        <v>1119</v>
      </c>
      <c r="E973">
        <v>39.92</v>
      </c>
      <c r="F973">
        <v>973713</v>
      </c>
      <c r="G973" t="s">
        <v>1131</v>
      </c>
      <c r="H973" t="s">
        <v>1134</v>
      </c>
    </row>
    <row r="974" spans="1:8" x14ac:dyDescent="0.25">
      <c r="A974" t="s">
        <v>22</v>
      </c>
      <c r="B974" t="s">
        <v>1080</v>
      </c>
      <c r="C974" t="s">
        <v>1110</v>
      </c>
      <c r="D974" t="s">
        <v>1118</v>
      </c>
      <c r="E974">
        <v>56.88</v>
      </c>
      <c r="F974">
        <v>352622</v>
      </c>
      <c r="G974" t="s">
        <v>1132</v>
      </c>
      <c r="H974" t="s">
        <v>1133</v>
      </c>
    </row>
    <row r="975" spans="1:8" x14ac:dyDescent="0.25">
      <c r="A975" t="s">
        <v>47</v>
      </c>
      <c r="B975" t="s">
        <v>1081</v>
      </c>
      <c r="C975" t="s">
        <v>1109</v>
      </c>
      <c r="D975" t="s">
        <v>1124</v>
      </c>
      <c r="E975">
        <v>99.27</v>
      </c>
      <c r="F975">
        <v>227518</v>
      </c>
      <c r="G975" t="s">
        <v>1130</v>
      </c>
      <c r="H975" t="s">
        <v>1134</v>
      </c>
    </row>
    <row r="976" spans="1:8" x14ac:dyDescent="0.25">
      <c r="A976" t="s">
        <v>50</v>
      </c>
      <c r="B976" t="s">
        <v>1082</v>
      </c>
      <c r="C976" t="s">
        <v>1116</v>
      </c>
      <c r="D976" t="s">
        <v>1127</v>
      </c>
      <c r="E976">
        <v>77.760000000000005</v>
      </c>
      <c r="F976">
        <v>124691</v>
      </c>
      <c r="G976" t="s">
        <v>1131</v>
      </c>
      <c r="H976" t="s">
        <v>1133</v>
      </c>
    </row>
    <row r="977" spans="1:8" x14ac:dyDescent="0.25">
      <c r="A977" t="s">
        <v>88</v>
      </c>
      <c r="B977" t="s">
        <v>1083</v>
      </c>
      <c r="C977" t="s">
        <v>1115</v>
      </c>
      <c r="D977" t="s">
        <v>1121</v>
      </c>
      <c r="E977">
        <v>55.32</v>
      </c>
      <c r="F977">
        <v>575912</v>
      </c>
      <c r="G977" t="s">
        <v>1132</v>
      </c>
      <c r="H977" t="s">
        <v>1134</v>
      </c>
    </row>
    <row r="978" spans="1:8" x14ac:dyDescent="0.25">
      <c r="A978" t="s">
        <v>89</v>
      </c>
      <c r="B978" t="s">
        <v>1084</v>
      </c>
      <c r="C978" t="s">
        <v>1114</v>
      </c>
      <c r="D978" t="s">
        <v>1119</v>
      </c>
      <c r="E978">
        <v>54.84</v>
      </c>
      <c r="F978">
        <v>146420</v>
      </c>
      <c r="G978" t="s">
        <v>1130</v>
      </c>
      <c r="H978" t="s">
        <v>1133</v>
      </c>
    </row>
    <row r="979" spans="1:8" x14ac:dyDescent="0.25">
      <c r="A979" t="s">
        <v>61</v>
      </c>
      <c r="B979" t="s">
        <v>1085</v>
      </c>
      <c r="C979" t="s">
        <v>1115</v>
      </c>
      <c r="D979" t="s">
        <v>1125</v>
      </c>
      <c r="E979">
        <v>79.3</v>
      </c>
      <c r="F979">
        <v>409590</v>
      </c>
      <c r="G979" t="s">
        <v>1132</v>
      </c>
      <c r="H979" t="s">
        <v>1133</v>
      </c>
    </row>
    <row r="980" spans="1:8" x14ac:dyDescent="0.25">
      <c r="A980" t="s">
        <v>25</v>
      </c>
      <c r="B980" t="s">
        <v>1086</v>
      </c>
      <c r="C980" t="s">
        <v>1116</v>
      </c>
      <c r="D980" t="s">
        <v>1126</v>
      </c>
      <c r="E980">
        <v>83.67</v>
      </c>
      <c r="F980">
        <v>620822</v>
      </c>
      <c r="G980" t="s">
        <v>1129</v>
      </c>
      <c r="H980" t="s">
        <v>1134</v>
      </c>
    </row>
    <row r="981" spans="1:8" x14ac:dyDescent="0.25">
      <c r="A981" t="s">
        <v>40</v>
      </c>
      <c r="B981" t="s">
        <v>1087</v>
      </c>
      <c r="C981" t="s">
        <v>1110</v>
      </c>
      <c r="D981" t="s">
        <v>1118</v>
      </c>
      <c r="E981">
        <v>50.52</v>
      </c>
      <c r="F981">
        <v>987067</v>
      </c>
      <c r="G981" t="s">
        <v>1130</v>
      </c>
      <c r="H981" t="s">
        <v>1134</v>
      </c>
    </row>
    <row r="982" spans="1:8" x14ac:dyDescent="0.25">
      <c r="A982" t="s">
        <v>72</v>
      </c>
      <c r="B982" t="s">
        <v>1088</v>
      </c>
      <c r="C982" t="s">
        <v>1110</v>
      </c>
      <c r="D982" t="s">
        <v>1123</v>
      </c>
      <c r="E982">
        <v>98.52</v>
      </c>
      <c r="F982">
        <v>142064</v>
      </c>
      <c r="G982" t="s">
        <v>1129</v>
      </c>
      <c r="H982" t="s">
        <v>1134</v>
      </c>
    </row>
    <row r="983" spans="1:8" x14ac:dyDescent="0.25">
      <c r="A983" t="s">
        <v>71</v>
      </c>
      <c r="B983" t="s">
        <v>1089</v>
      </c>
      <c r="C983" t="s">
        <v>1114</v>
      </c>
      <c r="D983" t="s">
        <v>1121</v>
      </c>
      <c r="E983">
        <v>84.93</v>
      </c>
      <c r="F983">
        <v>160767</v>
      </c>
      <c r="G983" t="s">
        <v>1128</v>
      </c>
      <c r="H983" t="s">
        <v>1133</v>
      </c>
    </row>
    <row r="984" spans="1:8" x14ac:dyDescent="0.25">
      <c r="A984" t="s">
        <v>80</v>
      </c>
      <c r="B984" t="s">
        <v>1090</v>
      </c>
      <c r="C984" t="s">
        <v>1111</v>
      </c>
      <c r="D984" t="s">
        <v>1121</v>
      </c>
      <c r="E984">
        <v>74.290000000000006</v>
      </c>
      <c r="F984">
        <v>345841</v>
      </c>
      <c r="G984" t="s">
        <v>1129</v>
      </c>
      <c r="H984" t="s">
        <v>1133</v>
      </c>
    </row>
    <row r="985" spans="1:8" x14ac:dyDescent="0.25">
      <c r="A985" t="s">
        <v>46</v>
      </c>
      <c r="B985" t="s">
        <v>1091</v>
      </c>
      <c r="C985" t="s">
        <v>1112</v>
      </c>
      <c r="D985" t="s">
        <v>1125</v>
      </c>
      <c r="E985">
        <v>97.41</v>
      </c>
      <c r="F985">
        <v>994998</v>
      </c>
      <c r="G985" t="s">
        <v>1128</v>
      </c>
      <c r="H985" t="s">
        <v>1133</v>
      </c>
    </row>
    <row r="986" spans="1:8" x14ac:dyDescent="0.25">
      <c r="A986" t="s">
        <v>74</v>
      </c>
      <c r="B986" t="s">
        <v>1092</v>
      </c>
      <c r="C986" t="s">
        <v>1109</v>
      </c>
      <c r="D986" t="s">
        <v>1126</v>
      </c>
      <c r="E986">
        <v>65.790000000000006</v>
      </c>
      <c r="F986">
        <v>838918</v>
      </c>
      <c r="G986" t="s">
        <v>1131</v>
      </c>
      <c r="H986" t="s">
        <v>1133</v>
      </c>
    </row>
    <row r="987" spans="1:8" x14ac:dyDescent="0.25">
      <c r="A987" t="s">
        <v>61</v>
      </c>
      <c r="B987" t="s">
        <v>1093</v>
      </c>
      <c r="C987" t="s">
        <v>1114</v>
      </c>
      <c r="D987" t="s">
        <v>1123</v>
      </c>
      <c r="E987">
        <v>90.13</v>
      </c>
      <c r="F987">
        <v>295212</v>
      </c>
      <c r="G987" t="s">
        <v>1130</v>
      </c>
      <c r="H987" t="s">
        <v>1133</v>
      </c>
    </row>
    <row r="988" spans="1:8" x14ac:dyDescent="0.25">
      <c r="A988" t="s">
        <v>70</v>
      </c>
      <c r="B988" t="s">
        <v>1094</v>
      </c>
      <c r="C988" t="s">
        <v>1112</v>
      </c>
      <c r="D988" t="s">
        <v>1120</v>
      </c>
      <c r="E988">
        <v>71.709999999999994</v>
      </c>
      <c r="F988">
        <v>457410</v>
      </c>
      <c r="G988" t="s">
        <v>1130</v>
      </c>
      <c r="H988" t="s">
        <v>1133</v>
      </c>
    </row>
    <row r="989" spans="1:8" x14ac:dyDescent="0.25">
      <c r="A989" t="s">
        <v>57</v>
      </c>
      <c r="B989" t="s">
        <v>1095</v>
      </c>
      <c r="C989" t="s">
        <v>1111</v>
      </c>
      <c r="D989" t="s">
        <v>1121</v>
      </c>
      <c r="E989">
        <v>76.959999999999994</v>
      </c>
      <c r="F989">
        <v>716010</v>
      </c>
      <c r="G989" t="s">
        <v>1130</v>
      </c>
      <c r="H989" t="s">
        <v>1134</v>
      </c>
    </row>
    <row r="990" spans="1:8" x14ac:dyDescent="0.25">
      <c r="A990" t="s">
        <v>106</v>
      </c>
      <c r="B990" t="s">
        <v>1096</v>
      </c>
      <c r="C990" t="s">
        <v>1111</v>
      </c>
      <c r="D990" t="s">
        <v>1124</v>
      </c>
      <c r="E990">
        <v>62.73</v>
      </c>
      <c r="F990">
        <v>489121</v>
      </c>
      <c r="G990" t="s">
        <v>1131</v>
      </c>
      <c r="H990" t="s">
        <v>1134</v>
      </c>
    </row>
    <row r="991" spans="1:8" x14ac:dyDescent="0.25">
      <c r="A991" t="s">
        <v>8</v>
      </c>
      <c r="B991" t="s">
        <v>1097</v>
      </c>
      <c r="C991" t="s">
        <v>1110</v>
      </c>
      <c r="D991" t="s">
        <v>1123</v>
      </c>
      <c r="E991">
        <v>78.010000000000005</v>
      </c>
      <c r="F991">
        <v>436134</v>
      </c>
      <c r="G991" t="s">
        <v>1128</v>
      </c>
      <c r="H991" t="s">
        <v>1133</v>
      </c>
    </row>
    <row r="992" spans="1:8" x14ac:dyDescent="0.25">
      <c r="A992" t="s">
        <v>93</v>
      </c>
      <c r="B992" t="s">
        <v>1098</v>
      </c>
      <c r="C992" t="s">
        <v>1116</v>
      </c>
      <c r="D992" t="s">
        <v>1120</v>
      </c>
      <c r="E992">
        <v>53.2</v>
      </c>
      <c r="F992">
        <v>599407</v>
      </c>
      <c r="G992" t="s">
        <v>1129</v>
      </c>
      <c r="H992" t="s">
        <v>1133</v>
      </c>
    </row>
    <row r="993" spans="1:8" x14ac:dyDescent="0.25">
      <c r="A993" t="s">
        <v>69</v>
      </c>
      <c r="B993" t="s">
        <v>1099</v>
      </c>
      <c r="C993" t="s">
        <v>1109</v>
      </c>
      <c r="D993" t="s">
        <v>1118</v>
      </c>
      <c r="E993">
        <v>41.59</v>
      </c>
      <c r="F993">
        <v>867863</v>
      </c>
      <c r="G993" t="s">
        <v>1130</v>
      </c>
      <c r="H993" t="s">
        <v>1133</v>
      </c>
    </row>
    <row r="994" spans="1:8" x14ac:dyDescent="0.25">
      <c r="A994" t="s">
        <v>78</v>
      </c>
      <c r="B994" t="s">
        <v>1100</v>
      </c>
      <c r="C994" t="s">
        <v>1108</v>
      </c>
      <c r="D994" t="s">
        <v>1124</v>
      </c>
      <c r="E994">
        <v>58.66</v>
      </c>
      <c r="F994">
        <v>888896</v>
      </c>
      <c r="G994" t="s">
        <v>1132</v>
      </c>
      <c r="H994" t="s">
        <v>1133</v>
      </c>
    </row>
    <row r="995" spans="1:8" x14ac:dyDescent="0.25">
      <c r="A995" t="s">
        <v>79</v>
      </c>
      <c r="B995" t="s">
        <v>1101</v>
      </c>
      <c r="C995" t="s">
        <v>1110</v>
      </c>
      <c r="D995" t="s">
        <v>1126</v>
      </c>
      <c r="E995">
        <v>71.819999999999993</v>
      </c>
      <c r="F995">
        <v>470216</v>
      </c>
      <c r="G995" t="s">
        <v>1132</v>
      </c>
      <c r="H995" t="s">
        <v>1133</v>
      </c>
    </row>
    <row r="996" spans="1:8" x14ac:dyDescent="0.25">
      <c r="A996" t="s">
        <v>47</v>
      </c>
      <c r="B996" t="s">
        <v>1102</v>
      </c>
      <c r="C996" t="s">
        <v>1115</v>
      </c>
      <c r="D996" t="s">
        <v>1120</v>
      </c>
      <c r="E996">
        <v>57.55</v>
      </c>
      <c r="F996">
        <v>217470</v>
      </c>
      <c r="G996" t="s">
        <v>1131</v>
      </c>
      <c r="H996" t="s">
        <v>1133</v>
      </c>
    </row>
    <row r="997" spans="1:8" x14ac:dyDescent="0.25">
      <c r="A997" t="s">
        <v>31</v>
      </c>
      <c r="B997" t="s">
        <v>1103</v>
      </c>
      <c r="C997" t="s">
        <v>1110</v>
      </c>
      <c r="D997" t="s">
        <v>1121</v>
      </c>
      <c r="E997">
        <v>45.35</v>
      </c>
      <c r="F997">
        <v>725540</v>
      </c>
      <c r="G997" t="s">
        <v>1130</v>
      </c>
      <c r="H997" t="s">
        <v>1134</v>
      </c>
    </row>
    <row r="998" spans="1:8" x14ac:dyDescent="0.25">
      <c r="A998" t="s">
        <v>73</v>
      </c>
      <c r="B998" t="s">
        <v>1104</v>
      </c>
      <c r="C998" t="s">
        <v>1115</v>
      </c>
      <c r="D998" t="s">
        <v>1127</v>
      </c>
      <c r="E998">
        <v>92.86</v>
      </c>
      <c r="F998">
        <v>399251</v>
      </c>
      <c r="G998" t="s">
        <v>1132</v>
      </c>
      <c r="H998" t="s">
        <v>1133</v>
      </c>
    </row>
    <row r="999" spans="1:8" x14ac:dyDescent="0.25">
      <c r="A999" t="s">
        <v>93</v>
      </c>
      <c r="B999" t="s">
        <v>1105</v>
      </c>
      <c r="C999" t="s">
        <v>1115</v>
      </c>
      <c r="D999" t="s">
        <v>1121</v>
      </c>
      <c r="E999">
        <v>95.95</v>
      </c>
      <c r="F999">
        <v>292881</v>
      </c>
      <c r="G999" t="s">
        <v>1130</v>
      </c>
      <c r="H999" t="s">
        <v>1133</v>
      </c>
    </row>
    <row r="1000" spans="1:8" x14ac:dyDescent="0.25">
      <c r="A1000" t="s">
        <v>9</v>
      </c>
      <c r="B1000" t="s">
        <v>1106</v>
      </c>
      <c r="C1000" t="s">
        <v>1110</v>
      </c>
      <c r="D1000" t="s">
        <v>1125</v>
      </c>
      <c r="E1000">
        <v>77.67</v>
      </c>
      <c r="F1000">
        <v>173906</v>
      </c>
      <c r="G1000" t="s">
        <v>1131</v>
      </c>
      <c r="H1000" t="s">
        <v>1133</v>
      </c>
    </row>
    <row r="1001" spans="1:8" x14ac:dyDescent="0.25">
      <c r="A1001" t="s">
        <v>70</v>
      </c>
      <c r="B1001" t="s">
        <v>1107</v>
      </c>
      <c r="C1001" t="s">
        <v>1110</v>
      </c>
      <c r="D1001" t="s">
        <v>1123</v>
      </c>
      <c r="E1001">
        <v>75.05</v>
      </c>
      <c r="F1001">
        <v>333499</v>
      </c>
      <c r="G1001" t="s">
        <v>1129</v>
      </c>
      <c r="H1001" t="s">
        <v>1133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D7083-B2B5-4404-A4BB-49DB1D3AB51A}">
  <dimension ref="A1:V1001"/>
  <sheetViews>
    <sheetView zoomScaleNormal="100" workbookViewId="0">
      <selection sqref="A1:H1001"/>
    </sheetView>
  </sheetViews>
  <sheetFormatPr defaultRowHeight="15" x14ac:dyDescent="0.25"/>
  <cols>
    <col min="1" max="1" width="15.42578125" customWidth="1"/>
    <col min="3" max="3" width="14" customWidth="1"/>
    <col min="5" max="5" width="13.5703125" customWidth="1"/>
    <col min="6" max="6" width="12" customWidth="1"/>
    <col min="7" max="7" width="13.42578125" customWidth="1"/>
    <col min="16" max="16" width="13.5703125" bestFit="1" customWidth="1"/>
    <col min="17" max="17" width="12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2" x14ac:dyDescent="0.25">
      <c r="A2" t="s">
        <v>8</v>
      </c>
      <c r="B2" t="s">
        <v>108</v>
      </c>
      <c r="C2" t="s">
        <v>1108</v>
      </c>
      <c r="D2" t="s">
        <v>1118</v>
      </c>
      <c r="E2">
        <v>83.07</v>
      </c>
      <c r="F2">
        <v>810898</v>
      </c>
      <c r="G2" t="s">
        <v>1128</v>
      </c>
      <c r="H2" t="s">
        <v>1133</v>
      </c>
    </row>
    <row r="3" spans="1:22" x14ac:dyDescent="0.25">
      <c r="A3" t="s">
        <v>9</v>
      </c>
      <c r="B3" t="s">
        <v>109</v>
      </c>
      <c r="C3" t="s">
        <v>1109</v>
      </c>
      <c r="D3" t="s">
        <v>1119</v>
      </c>
      <c r="E3">
        <v>65.63</v>
      </c>
      <c r="F3">
        <v>704184</v>
      </c>
      <c r="G3" t="s">
        <v>1128</v>
      </c>
      <c r="H3" t="s">
        <v>1133</v>
      </c>
    </row>
    <row r="4" spans="1:22" x14ac:dyDescent="0.25">
      <c r="A4" t="s">
        <v>10</v>
      </c>
      <c r="B4" t="s">
        <v>110</v>
      </c>
      <c r="C4" t="s">
        <v>1110</v>
      </c>
      <c r="D4" t="s">
        <v>1120</v>
      </c>
      <c r="E4">
        <v>39.79</v>
      </c>
      <c r="F4">
        <v>969737</v>
      </c>
      <c r="G4" t="s">
        <v>1129</v>
      </c>
      <c r="H4" t="s">
        <v>1133</v>
      </c>
      <c r="J4" s="3" t="s">
        <v>1165</v>
      </c>
      <c r="K4" s="3"/>
      <c r="L4" s="3"/>
    </row>
    <row r="5" spans="1:22" x14ac:dyDescent="0.25">
      <c r="A5" t="s">
        <v>11</v>
      </c>
      <c r="B5" t="s">
        <v>111</v>
      </c>
      <c r="C5" t="s">
        <v>1111</v>
      </c>
      <c r="D5" t="s">
        <v>1121</v>
      </c>
      <c r="E5">
        <v>94.76</v>
      </c>
      <c r="F5">
        <v>365755</v>
      </c>
      <c r="G5" t="s">
        <v>1130</v>
      </c>
      <c r="H5" t="s">
        <v>1134</v>
      </c>
    </row>
    <row r="6" spans="1:22" x14ac:dyDescent="0.25">
      <c r="A6" t="s">
        <v>12</v>
      </c>
      <c r="B6" t="s">
        <v>112</v>
      </c>
      <c r="C6" t="s">
        <v>1112</v>
      </c>
      <c r="D6" t="s">
        <v>1122</v>
      </c>
      <c r="E6">
        <v>84.23</v>
      </c>
      <c r="F6">
        <v>638885</v>
      </c>
      <c r="G6" t="s">
        <v>1131</v>
      </c>
      <c r="H6" t="s">
        <v>1133</v>
      </c>
      <c r="J6" t="s">
        <v>1166</v>
      </c>
      <c r="L6" t="s">
        <v>1167</v>
      </c>
      <c r="N6" t="s">
        <v>1172</v>
      </c>
      <c r="P6">
        <v>156783456</v>
      </c>
      <c r="R6" t="s">
        <v>1172</v>
      </c>
      <c r="T6">
        <v>638885</v>
      </c>
    </row>
    <row r="7" spans="1:22" x14ac:dyDescent="0.25">
      <c r="A7" t="s">
        <v>13</v>
      </c>
      <c r="B7" t="s">
        <v>113</v>
      </c>
      <c r="C7" t="s">
        <v>1110</v>
      </c>
      <c r="D7" t="s">
        <v>1122</v>
      </c>
      <c r="E7">
        <v>35.53</v>
      </c>
      <c r="F7">
        <v>901020</v>
      </c>
      <c r="G7" t="s">
        <v>1130</v>
      </c>
      <c r="H7" t="s">
        <v>1133</v>
      </c>
    </row>
    <row r="8" spans="1:22" x14ac:dyDescent="0.25">
      <c r="A8" t="s">
        <v>14</v>
      </c>
      <c r="B8" t="s">
        <v>114</v>
      </c>
      <c r="C8" t="s">
        <v>1111</v>
      </c>
      <c r="D8" t="s">
        <v>1123</v>
      </c>
      <c r="E8">
        <v>76.09</v>
      </c>
      <c r="F8">
        <v>560363</v>
      </c>
      <c r="G8" t="s">
        <v>1132</v>
      </c>
      <c r="H8" t="s">
        <v>1133</v>
      </c>
      <c r="I8" t="s">
        <v>1168</v>
      </c>
      <c r="J8" t="s">
        <v>1169</v>
      </c>
      <c r="M8" t="s">
        <v>1170</v>
      </c>
      <c r="N8" t="s">
        <v>1171</v>
      </c>
      <c r="P8" t="s">
        <v>1173</v>
      </c>
      <c r="Q8" t="s">
        <v>1174</v>
      </c>
      <c r="R8" t="s">
        <v>1176</v>
      </c>
      <c r="S8" t="s">
        <v>1175</v>
      </c>
      <c r="U8" t="s">
        <v>1177</v>
      </c>
      <c r="V8" t="s">
        <v>1178</v>
      </c>
    </row>
    <row r="9" spans="1:22" x14ac:dyDescent="0.25">
      <c r="A9" t="s">
        <v>15</v>
      </c>
      <c r="B9" t="s">
        <v>115</v>
      </c>
      <c r="C9" t="s">
        <v>1112</v>
      </c>
      <c r="D9" t="s">
        <v>1120</v>
      </c>
      <c r="E9">
        <v>92.88</v>
      </c>
      <c r="F9">
        <v>220806</v>
      </c>
      <c r="G9" t="s">
        <v>1131</v>
      </c>
      <c r="H9" t="s">
        <v>1134</v>
      </c>
      <c r="K9" t="b">
        <f>H2=L$6</f>
        <v>1</v>
      </c>
      <c r="N9" t="b">
        <f>F2&gt;P$6</f>
        <v>0</v>
      </c>
      <c r="P9" t="b">
        <f>F2&lt;P$6</f>
        <v>1</v>
      </c>
    </row>
    <row r="10" spans="1:22" x14ac:dyDescent="0.25">
      <c r="A10" t="s">
        <v>16</v>
      </c>
      <c r="B10" t="s">
        <v>116</v>
      </c>
      <c r="C10" t="s">
        <v>1113</v>
      </c>
      <c r="D10" t="s">
        <v>1120</v>
      </c>
      <c r="E10">
        <v>53.16</v>
      </c>
      <c r="F10">
        <v>164587</v>
      </c>
      <c r="G10" t="s">
        <v>1128</v>
      </c>
      <c r="H10" t="s">
        <v>1133</v>
      </c>
      <c r="K10" t="b">
        <f t="shared" ref="K10:K73" si="0">H3=L$6</f>
        <v>1</v>
      </c>
      <c r="N10" t="b">
        <f t="shared" ref="N10:N73" si="1">F3&gt;P$6</f>
        <v>0</v>
      </c>
      <c r="P10" t="b">
        <f t="shared" ref="P10:P73" si="2">F3&lt;P$6</f>
        <v>1</v>
      </c>
      <c r="S10" t="b">
        <f>F2&gt;X15=T$6</f>
        <v>0</v>
      </c>
      <c r="V10" t="b">
        <f>F2&lt;=T$6</f>
        <v>0</v>
      </c>
    </row>
    <row r="11" spans="1:22" x14ac:dyDescent="0.25">
      <c r="A11" t="s">
        <v>17</v>
      </c>
      <c r="B11" t="s">
        <v>117</v>
      </c>
      <c r="C11" t="s">
        <v>1108</v>
      </c>
      <c r="D11" t="s">
        <v>1124</v>
      </c>
      <c r="E11">
        <v>99.56</v>
      </c>
      <c r="F11">
        <v>378449</v>
      </c>
      <c r="G11" t="s">
        <v>1130</v>
      </c>
      <c r="H11" t="s">
        <v>1133</v>
      </c>
      <c r="K11" t="b">
        <f t="shared" si="0"/>
        <v>1</v>
      </c>
      <c r="N11" t="b">
        <f t="shared" si="1"/>
        <v>0</v>
      </c>
      <c r="P11" t="b">
        <f t="shared" si="2"/>
        <v>1</v>
      </c>
      <c r="S11" t="b">
        <f t="shared" ref="S11:S74" si="3">F3&gt;=T$6</f>
        <v>1</v>
      </c>
      <c r="V11" t="b">
        <f t="shared" ref="V11:V74" si="4">F3&lt;=T$6</f>
        <v>0</v>
      </c>
    </row>
    <row r="12" spans="1:22" x14ac:dyDescent="0.25">
      <c r="A12" t="s">
        <v>18</v>
      </c>
      <c r="B12" t="s">
        <v>118</v>
      </c>
      <c r="C12" t="s">
        <v>1114</v>
      </c>
      <c r="D12" t="s">
        <v>1125</v>
      </c>
      <c r="E12">
        <v>67.38</v>
      </c>
      <c r="F12">
        <v>153520</v>
      </c>
      <c r="G12" t="s">
        <v>1129</v>
      </c>
      <c r="H12" t="s">
        <v>1133</v>
      </c>
      <c r="K12" t="b">
        <f t="shared" si="0"/>
        <v>0</v>
      </c>
      <c r="N12" t="b">
        <f t="shared" si="1"/>
        <v>0</v>
      </c>
      <c r="P12" t="b">
        <f t="shared" si="2"/>
        <v>1</v>
      </c>
      <c r="S12" t="b">
        <f t="shared" si="3"/>
        <v>1</v>
      </c>
      <c r="V12" t="b">
        <f t="shared" si="4"/>
        <v>0</v>
      </c>
    </row>
    <row r="13" spans="1:22" x14ac:dyDescent="0.25">
      <c r="A13" t="s">
        <v>19</v>
      </c>
      <c r="B13" t="s">
        <v>119</v>
      </c>
      <c r="C13" t="s">
        <v>1112</v>
      </c>
      <c r="D13" t="s">
        <v>1120</v>
      </c>
      <c r="E13">
        <v>60.84</v>
      </c>
      <c r="F13">
        <v>113907</v>
      </c>
      <c r="G13" t="s">
        <v>1129</v>
      </c>
      <c r="H13" t="s">
        <v>1133</v>
      </c>
      <c r="K13" t="b">
        <f t="shared" si="0"/>
        <v>1</v>
      </c>
      <c r="N13" t="b">
        <f t="shared" si="1"/>
        <v>0</v>
      </c>
      <c r="P13" t="b">
        <f t="shared" si="2"/>
        <v>1</v>
      </c>
      <c r="S13" t="b">
        <f t="shared" si="3"/>
        <v>0</v>
      </c>
      <c r="V13" t="b">
        <f t="shared" si="4"/>
        <v>1</v>
      </c>
    </row>
    <row r="14" spans="1:22" x14ac:dyDescent="0.25">
      <c r="A14" t="s">
        <v>20</v>
      </c>
      <c r="B14" t="s">
        <v>120</v>
      </c>
      <c r="C14" t="s">
        <v>1115</v>
      </c>
      <c r="D14" t="s">
        <v>1118</v>
      </c>
      <c r="E14">
        <v>87.82</v>
      </c>
      <c r="F14">
        <v>950741</v>
      </c>
      <c r="G14" t="s">
        <v>1130</v>
      </c>
      <c r="H14" t="s">
        <v>1134</v>
      </c>
      <c r="K14" t="b">
        <f t="shared" si="0"/>
        <v>1</v>
      </c>
      <c r="N14" t="b">
        <f t="shared" si="1"/>
        <v>0</v>
      </c>
      <c r="P14" t="b">
        <f t="shared" si="2"/>
        <v>1</v>
      </c>
      <c r="S14" t="b">
        <f t="shared" si="3"/>
        <v>1</v>
      </c>
      <c r="V14" t="b">
        <f t="shared" si="4"/>
        <v>1</v>
      </c>
    </row>
    <row r="15" spans="1:22" x14ac:dyDescent="0.25">
      <c r="A15" t="s">
        <v>21</v>
      </c>
      <c r="B15" t="s">
        <v>121</v>
      </c>
      <c r="C15" t="s">
        <v>1116</v>
      </c>
      <c r="D15" t="s">
        <v>1126</v>
      </c>
      <c r="E15">
        <v>78.42</v>
      </c>
      <c r="F15">
        <v>443837</v>
      </c>
      <c r="G15" t="s">
        <v>1132</v>
      </c>
      <c r="H15" t="s">
        <v>1133</v>
      </c>
      <c r="K15" t="b">
        <f t="shared" si="0"/>
        <v>1</v>
      </c>
      <c r="N15" t="b">
        <f t="shared" si="1"/>
        <v>0</v>
      </c>
      <c r="P15" t="b">
        <f t="shared" si="2"/>
        <v>1</v>
      </c>
      <c r="S15" t="b">
        <f t="shared" si="3"/>
        <v>1</v>
      </c>
      <c r="V15" t="b">
        <f t="shared" si="4"/>
        <v>0</v>
      </c>
    </row>
    <row r="16" spans="1:22" x14ac:dyDescent="0.25">
      <c r="A16" t="s">
        <v>22</v>
      </c>
      <c r="B16" t="s">
        <v>122</v>
      </c>
      <c r="C16" t="s">
        <v>1115</v>
      </c>
      <c r="D16" t="s">
        <v>1121</v>
      </c>
      <c r="E16">
        <v>48.58</v>
      </c>
      <c r="F16">
        <v>888640</v>
      </c>
      <c r="G16" t="s">
        <v>1130</v>
      </c>
      <c r="H16" t="s">
        <v>1133</v>
      </c>
      <c r="K16" t="b">
        <f t="shared" si="0"/>
        <v>0</v>
      </c>
      <c r="N16" t="b">
        <f t="shared" si="1"/>
        <v>0</v>
      </c>
      <c r="P16" t="b">
        <f t="shared" si="2"/>
        <v>1</v>
      </c>
      <c r="S16" t="b">
        <f t="shared" si="3"/>
        <v>0</v>
      </c>
      <c r="V16" t="b">
        <f t="shared" si="4"/>
        <v>1</v>
      </c>
    </row>
    <row r="17" spans="1:22" x14ac:dyDescent="0.25">
      <c r="A17" t="s">
        <v>23</v>
      </c>
      <c r="B17" t="s">
        <v>123</v>
      </c>
      <c r="C17" t="s">
        <v>1113</v>
      </c>
      <c r="D17" t="s">
        <v>1119</v>
      </c>
      <c r="E17">
        <v>35.42</v>
      </c>
      <c r="F17">
        <v>447960</v>
      </c>
      <c r="G17" t="s">
        <v>1130</v>
      </c>
      <c r="H17" t="s">
        <v>1133</v>
      </c>
      <c r="K17" t="b">
        <f t="shared" si="0"/>
        <v>1</v>
      </c>
      <c r="N17" t="b">
        <f t="shared" si="1"/>
        <v>0</v>
      </c>
      <c r="P17" t="b">
        <f t="shared" si="2"/>
        <v>1</v>
      </c>
      <c r="S17" t="b">
        <f t="shared" si="3"/>
        <v>0</v>
      </c>
      <c r="V17" t="b">
        <f t="shared" si="4"/>
        <v>1</v>
      </c>
    </row>
    <row r="18" spans="1:22" x14ac:dyDescent="0.25">
      <c r="A18" t="s">
        <v>24</v>
      </c>
      <c r="B18" t="s">
        <v>124</v>
      </c>
      <c r="C18" t="s">
        <v>1112</v>
      </c>
      <c r="D18" t="s">
        <v>1123</v>
      </c>
      <c r="E18">
        <v>55.03</v>
      </c>
      <c r="F18">
        <v>622406</v>
      </c>
      <c r="G18" t="s">
        <v>1129</v>
      </c>
      <c r="H18" t="s">
        <v>1133</v>
      </c>
      <c r="K18" t="b">
        <f t="shared" si="0"/>
        <v>1</v>
      </c>
      <c r="N18" t="b">
        <f t="shared" si="1"/>
        <v>0</v>
      </c>
      <c r="P18" t="b">
        <f t="shared" si="2"/>
        <v>1</v>
      </c>
      <c r="S18" t="b">
        <f t="shared" si="3"/>
        <v>0</v>
      </c>
      <c r="V18" t="b">
        <f t="shared" si="4"/>
        <v>1</v>
      </c>
    </row>
    <row r="19" spans="1:22" x14ac:dyDescent="0.25">
      <c r="A19" t="s">
        <v>25</v>
      </c>
      <c r="B19" t="s">
        <v>125</v>
      </c>
      <c r="C19" t="s">
        <v>1111</v>
      </c>
      <c r="D19" t="s">
        <v>1125</v>
      </c>
      <c r="E19">
        <v>56</v>
      </c>
      <c r="F19">
        <v>484872</v>
      </c>
      <c r="G19" t="s">
        <v>1131</v>
      </c>
      <c r="H19" t="s">
        <v>1134</v>
      </c>
      <c r="K19" t="b">
        <f t="shared" si="0"/>
        <v>1</v>
      </c>
      <c r="N19" t="b">
        <f t="shared" si="1"/>
        <v>0</v>
      </c>
      <c r="P19" t="b">
        <f t="shared" si="2"/>
        <v>1</v>
      </c>
      <c r="S19" t="b">
        <f t="shared" si="3"/>
        <v>0</v>
      </c>
      <c r="V19" t="b">
        <f t="shared" si="4"/>
        <v>1</v>
      </c>
    </row>
    <row r="20" spans="1:22" x14ac:dyDescent="0.25">
      <c r="A20" t="s">
        <v>26</v>
      </c>
      <c r="B20" t="s">
        <v>126</v>
      </c>
      <c r="C20" t="s">
        <v>1108</v>
      </c>
      <c r="D20" t="s">
        <v>1126</v>
      </c>
      <c r="E20">
        <v>88.14</v>
      </c>
      <c r="F20">
        <v>401546</v>
      </c>
      <c r="G20" t="s">
        <v>1130</v>
      </c>
      <c r="H20" t="s">
        <v>1133</v>
      </c>
      <c r="K20" t="b">
        <f t="shared" si="0"/>
        <v>1</v>
      </c>
      <c r="N20" t="b">
        <f t="shared" si="1"/>
        <v>0</v>
      </c>
      <c r="P20" t="b">
        <f t="shared" si="2"/>
        <v>1</v>
      </c>
      <c r="S20" t="b">
        <f t="shared" si="3"/>
        <v>0</v>
      </c>
      <c r="V20" t="b">
        <f t="shared" si="4"/>
        <v>1</v>
      </c>
    </row>
    <row r="21" spans="1:22" x14ac:dyDescent="0.25">
      <c r="A21" t="s">
        <v>27</v>
      </c>
      <c r="B21" t="s">
        <v>127</v>
      </c>
      <c r="C21" t="s">
        <v>1108</v>
      </c>
      <c r="D21" t="s">
        <v>1126</v>
      </c>
      <c r="E21">
        <v>93.44</v>
      </c>
      <c r="F21">
        <v>901370</v>
      </c>
      <c r="G21" t="s">
        <v>1128</v>
      </c>
      <c r="H21" t="s">
        <v>1133</v>
      </c>
      <c r="K21" t="b">
        <f t="shared" si="0"/>
        <v>0</v>
      </c>
      <c r="N21" t="b">
        <f t="shared" si="1"/>
        <v>0</v>
      </c>
      <c r="P21" t="b">
        <f t="shared" si="2"/>
        <v>1</v>
      </c>
      <c r="S21" t="b">
        <f t="shared" si="3"/>
        <v>0</v>
      </c>
      <c r="V21" t="b">
        <f t="shared" si="4"/>
        <v>1</v>
      </c>
    </row>
    <row r="22" spans="1:22" x14ac:dyDescent="0.25">
      <c r="A22" t="s">
        <v>28</v>
      </c>
      <c r="B22" t="s">
        <v>128</v>
      </c>
      <c r="C22" t="s">
        <v>1115</v>
      </c>
      <c r="D22" t="s">
        <v>1120</v>
      </c>
      <c r="E22">
        <v>61.5</v>
      </c>
      <c r="F22">
        <v>364071</v>
      </c>
      <c r="G22" t="s">
        <v>1128</v>
      </c>
      <c r="H22" t="s">
        <v>1133</v>
      </c>
      <c r="K22" t="b">
        <f t="shared" si="0"/>
        <v>1</v>
      </c>
      <c r="N22" t="b">
        <f t="shared" si="1"/>
        <v>0</v>
      </c>
      <c r="P22" t="b">
        <f t="shared" si="2"/>
        <v>1</v>
      </c>
      <c r="S22" t="b">
        <f t="shared" si="3"/>
        <v>1</v>
      </c>
      <c r="V22" t="b">
        <f t="shared" si="4"/>
        <v>0</v>
      </c>
    </row>
    <row r="23" spans="1:22" x14ac:dyDescent="0.25">
      <c r="A23" t="s">
        <v>29</v>
      </c>
      <c r="B23" t="s">
        <v>129</v>
      </c>
      <c r="C23" t="s">
        <v>1111</v>
      </c>
      <c r="D23" t="s">
        <v>1125</v>
      </c>
      <c r="E23">
        <v>93.89</v>
      </c>
      <c r="F23">
        <v>321816</v>
      </c>
      <c r="G23" t="s">
        <v>1132</v>
      </c>
      <c r="H23" t="s">
        <v>1133</v>
      </c>
      <c r="K23" t="b">
        <f t="shared" si="0"/>
        <v>1</v>
      </c>
      <c r="N23" t="b">
        <f t="shared" si="1"/>
        <v>0</v>
      </c>
      <c r="P23" t="b">
        <f t="shared" si="2"/>
        <v>1</v>
      </c>
      <c r="S23" t="b">
        <f t="shared" si="3"/>
        <v>0</v>
      </c>
      <c r="V23" t="b">
        <f t="shared" si="4"/>
        <v>1</v>
      </c>
    </row>
    <row r="24" spans="1:22" x14ac:dyDescent="0.25">
      <c r="A24" t="s">
        <v>30</v>
      </c>
      <c r="B24" t="s">
        <v>130</v>
      </c>
      <c r="C24" t="s">
        <v>1110</v>
      </c>
      <c r="D24" t="s">
        <v>1123</v>
      </c>
      <c r="E24">
        <v>73</v>
      </c>
      <c r="F24">
        <v>696067</v>
      </c>
      <c r="G24" t="s">
        <v>1129</v>
      </c>
      <c r="H24" t="s">
        <v>1133</v>
      </c>
      <c r="K24" t="b">
        <f t="shared" si="0"/>
        <v>1</v>
      </c>
      <c r="N24" t="b">
        <f t="shared" si="1"/>
        <v>0</v>
      </c>
      <c r="P24" t="b">
        <f t="shared" si="2"/>
        <v>1</v>
      </c>
      <c r="S24" t="b">
        <f t="shared" si="3"/>
        <v>1</v>
      </c>
      <c r="V24" t="b">
        <f t="shared" si="4"/>
        <v>0</v>
      </c>
    </row>
    <row r="25" spans="1:22" x14ac:dyDescent="0.25">
      <c r="A25" t="s">
        <v>31</v>
      </c>
      <c r="B25" t="s">
        <v>131</v>
      </c>
      <c r="C25" t="s">
        <v>1112</v>
      </c>
      <c r="D25" t="s">
        <v>1121</v>
      </c>
      <c r="E25">
        <v>61.33</v>
      </c>
      <c r="F25">
        <v>367447</v>
      </c>
      <c r="G25" t="s">
        <v>1129</v>
      </c>
      <c r="H25" t="s">
        <v>1133</v>
      </c>
      <c r="K25" t="b">
        <f t="shared" si="0"/>
        <v>1</v>
      </c>
      <c r="N25" t="b">
        <f t="shared" si="1"/>
        <v>0</v>
      </c>
      <c r="P25" t="b">
        <f t="shared" si="2"/>
        <v>1</v>
      </c>
      <c r="S25" t="b">
        <f t="shared" si="3"/>
        <v>0</v>
      </c>
      <c r="V25" t="b">
        <f t="shared" si="4"/>
        <v>1</v>
      </c>
    </row>
    <row r="26" spans="1:22" x14ac:dyDescent="0.25">
      <c r="A26" t="s">
        <v>32</v>
      </c>
      <c r="B26" t="s">
        <v>132</v>
      </c>
      <c r="C26" t="s">
        <v>1111</v>
      </c>
      <c r="D26" t="s">
        <v>1121</v>
      </c>
      <c r="E26">
        <v>81.06</v>
      </c>
      <c r="F26">
        <v>943455</v>
      </c>
      <c r="G26" t="s">
        <v>1130</v>
      </c>
      <c r="H26" t="s">
        <v>1134</v>
      </c>
      <c r="K26" t="b">
        <f t="shared" si="0"/>
        <v>0</v>
      </c>
      <c r="N26" t="b">
        <f t="shared" si="1"/>
        <v>0</v>
      </c>
      <c r="P26" t="b">
        <f t="shared" si="2"/>
        <v>1</v>
      </c>
      <c r="S26" t="b">
        <f t="shared" si="3"/>
        <v>0</v>
      </c>
      <c r="V26" t="b">
        <f t="shared" si="4"/>
        <v>1</v>
      </c>
    </row>
    <row r="27" spans="1:22" x14ac:dyDescent="0.25">
      <c r="A27" t="s">
        <v>33</v>
      </c>
      <c r="B27" t="s">
        <v>133</v>
      </c>
      <c r="C27" t="s">
        <v>1113</v>
      </c>
      <c r="D27" t="s">
        <v>1123</v>
      </c>
      <c r="E27">
        <v>97.4</v>
      </c>
      <c r="F27">
        <v>931337</v>
      </c>
      <c r="G27" t="s">
        <v>1129</v>
      </c>
      <c r="H27" t="s">
        <v>1133</v>
      </c>
      <c r="K27" t="b">
        <f t="shared" si="0"/>
        <v>1</v>
      </c>
      <c r="N27" t="b">
        <f t="shared" si="1"/>
        <v>0</v>
      </c>
      <c r="P27" t="b">
        <f t="shared" si="2"/>
        <v>1</v>
      </c>
      <c r="S27" t="b">
        <f t="shared" si="3"/>
        <v>0</v>
      </c>
      <c r="V27" t="b">
        <f t="shared" si="4"/>
        <v>1</v>
      </c>
    </row>
    <row r="28" spans="1:22" x14ac:dyDescent="0.25">
      <c r="A28" t="s">
        <v>34</v>
      </c>
      <c r="B28" t="s">
        <v>134</v>
      </c>
      <c r="C28" t="s">
        <v>1110</v>
      </c>
      <c r="D28" t="s">
        <v>1126</v>
      </c>
      <c r="E28">
        <v>86.66</v>
      </c>
      <c r="F28">
        <v>931071</v>
      </c>
      <c r="G28" t="s">
        <v>1132</v>
      </c>
      <c r="H28" t="s">
        <v>1133</v>
      </c>
      <c r="K28" t="b">
        <f t="shared" si="0"/>
        <v>1</v>
      </c>
      <c r="N28" t="b">
        <f t="shared" si="1"/>
        <v>0</v>
      </c>
      <c r="P28" t="b">
        <f t="shared" si="2"/>
        <v>1</v>
      </c>
      <c r="S28" t="b">
        <f t="shared" si="3"/>
        <v>0</v>
      </c>
      <c r="V28" t="b">
        <f t="shared" si="4"/>
        <v>1</v>
      </c>
    </row>
    <row r="29" spans="1:22" x14ac:dyDescent="0.25">
      <c r="A29" t="s">
        <v>20</v>
      </c>
      <c r="B29" t="s">
        <v>135</v>
      </c>
      <c r="C29" t="s">
        <v>1113</v>
      </c>
      <c r="D29" t="s">
        <v>1125</v>
      </c>
      <c r="E29">
        <v>64.02</v>
      </c>
      <c r="F29">
        <v>405865</v>
      </c>
      <c r="G29" t="s">
        <v>1129</v>
      </c>
      <c r="H29" t="s">
        <v>1133</v>
      </c>
      <c r="K29" t="b">
        <f t="shared" si="0"/>
        <v>1</v>
      </c>
      <c r="N29" t="b">
        <f t="shared" si="1"/>
        <v>0</v>
      </c>
      <c r="P29" t="b">
        <f t="shared" si="2"/>
        <v>1</v>
      </c>
      <c r="S29" t="b">
        <f t="shared" si="3"/>
        <v>1</v>
      </c>
      <c r="V29" t="b">
        <f t="shared" si="4"/>
        <v>0</v>
      </c>
    </row>
    <row r="30" spans="1:22" x14ac:dyDescent="0.25">
      <c r="A30" t="s">
        <v>35</v>
      </c>
      <c r="B30" t="s">
        <v>136</v>
      </c>
      <c r="C30" t="s">
        <v>1116</v>
      </c>
      <c r="D30" t="s">
        <v>1120</v>
      </c>
      <c r="E30">
        <v>72.48</v>
      </c>
      <c r="F30">
        <v>662068</v>
      </c>
      <c r="G30" t="s">
        <v>1130</v>
      </c>
      <c r="H30" t="s">
        <v>1134</v>
      </c>
      <c r="K30" t="b">
        <f t="shared" si="0"/>
        <v>1</v>
      </c>
      <c r="N30" t="b">
        <f t="shared" si="1"/>
        <v>0</v>
      </c>
      <c r="P30" t="b">
        <f t="shared" si="2"/>
        <v>1</v>
      </c>
      <c r="S30" t="b">
        <f t="shared" si="3"/>
        <v>0</v>
      </c>
      <c r="V30" t="b">
        <f t="shared" si="4"/>
        <v>1</v>
      </c>
    </row>
    <row r="31" spans="1:22" x14ac:dyDescent="0.25">
      <c r="A31" t="s">
        <v>36</v>
      </c>
      <c r="B31" t="s">
        <v>137</v>
      </c>
      <c r="C31" t="s">
        <v>1116</v>
      </c>
      <c r="D31" t="s">
        <v>1122</v>
      </c>
      <c r="E31">
        <v>46.16</v>
      </c>
      <c r="F31">
        <v>151031</v>
      </c>
      <c r="G31" t="s">
        <v>1129</v>
      </c>
      <c r="H31" t="s">
        <v>1134</v>
      </c>
      <c r="K31" t="b">
        <f t="shared" si="0"/>
        <v>1</v>
      </c>
      <c r="N31" t="b">
        <f t="shared" si="1"/>
        <v>0</v>
      </c>
      <c r="P31" t="b">
        <f t="shared" si="2"/>
        <v>1</v>
      </c>
      <c r="S31" t="b">
        <f t="shared" si="3"/>
        <v>0</v>
      </c>
      <c r="V31" t="b">
        <f t="shared" si="4"/>
        <v>1</v>
      </c>
    </row>
    <row r="32" spans="1:22" x14ac:dyDescent="0.25">
      <c r="A32" t="s">
        <v>37</v>
      </c>
      <c r="B32" t="s">
        <v>138</v>
      </c>
      <c r="C32" t="s">
        <v>1113</v>
      </c>
      <c r="D32" t="s">
        <v>1122</v>
      </c>
      <c r="E32">
        <v>70.709999999999994</v>
      </c>
      <c r="F32">
        <v>994905</v>
      </c>
      <c r="G32" t="s">
        <v>1132</v>
      </c>
      <c r="H32" t="s">
        <v>1133</v>
      </c>
      <c r="K32" t="b">
        <f t="shared" si="0"/>
        <v>1</v>
      </c>
      <c r="N32" t="b">
        <f t="shared" si="1"/>
        <v>0</v>
      </c>
      <c r="P32" t="b">
        <f t="shared" si="2"/>
        <v>1</v>
      </c>
      <c r="S32" t="b">
        <f t="shared" si="3"/>
        <v>1</v>
      </c>
      <c r="V32" t="b">
        <f t="shared" si="4"/>
        <v>0</v>
      </c>
    </row>
    <row r="33" spans="1:22" x14ac:dyDescent="0.25">
      <c r="A33" t="s">
        <v>38</v>
      </c>
      <c r="B33" t="s">
        <v>139</v>
      </c>
      <c r="C33" t="s">
        <v>1110</v>
      </c>
      <c r="D33" t="s">
        <v>1119</v>
      </c>
      <c r="E33">
        <v>51.07</v>
      </c>
      <c r="F33">
        <v>161939</v>
      </c>
      <c r="G33" t="s">
        <v>1129</v>
      </c>
      <c r="H33" t="s">
        <v>1134</v>
      </c>
      <c r="K33" t="b">
        <f t="shared" si="0"/>
        <v>0</v>
      </c>
      <c r="N33" t="b">
        <f t="shared" si="1"/>
        <v>0</v>
      </c>
      <c r="P33" t="b">
        <f t="shared" si="2"/>
        <v>1</v>
      </c>
      <c r="S33" t="b">
        <f t="shared" si="3"/>
        <v>0</v>
      </c>
      <c r="V33" t="b">
        <f t="shared" si="4"/>
        <v>1</v>
      </c>
    </row>
    <row r="34" spans="1:22" x14ac:dyDescent="0.25">
      <c r="A34" t="s">
        <v>39</v>
      </c>
      <c r="B34" t="s">
        <v>140</v>
      </c>
      <c r="C34" t="s">
        <v>1109</v>
      </c>
      <c r="D34" t="s">
        <v>1127</v>
      </c>
      <c r="E34">
        <v>68.36</v>
      </c>
      <c r="F34">
        <v>205699</v>
      </c>
      <c r="G34" t="s">
        <v>1129</v>
      </c>
      <c r="H34" t="s">
        <v>1133</v>
      </c>
      <c r="K34" t="b">
        <f t="shared" si="0"/>
        <v>1</v>
      </c>
      <c r="N34" t="b">
        <f t="shared" si="1"/>
        <v>0</v>
      </c>
      <c r="P34" t="b">
        <f t="shared" si="2"/>
        <v>1</v>
      </c>
      <c r="S34" t="b">
        <f t="shared" si="3"/>
        <v>1</v>
      </c>
      <c r="V34" t="b">
        <f t="shared" si="4"/>
        <v>0</v>
      </c>
    </row>
    <row r="35" spans="1:22" x14ac:dyDescent="0.25">
      <c r="A35" t="s">
        <v>14</v>
      </c>
      <c r="B35" t="s">
        <v>141</v>
      </c>
      <c r="C35" t="s">
        <v>1116</v>
      </c>
      <c r="D35" t="s">
        <v>1120</v>
      </c>
      <c r="E35">
        <v>92.74</v>
      </c>
      <c r="F35">
        <v>865178</v>
      </c>
      <c r="G35" t="s">
        <v>1131</v>
      </c>
      <c r="H35" t="s">
        <v>1134</v>
      </c>
      <c r="K35" t="b">
        <f t="shared" si="0"/>
        <v>1</v>
      </c>
      <c r="N35" t="b">
        <f t="shared" si="1"/>
        <v>0</v>
      </c>
      <c r="P35" t="b">
        <f t="shared" si="2"/>
        <v>1</v>
      </c>
      <c r="S35" t="b">
        <f t="shared" si="3"/>
        <v>1</v>
      </c>
      <c r="V35" t="b">
        <f t="shared" si="4"/>
        <v>0</v>
      </c>
    </row>
    <row r="36" spans="1:22" x14ac:dyDescent="0.25">
      <c r="A36" t="s">
        <v>8</v>
      </c>
      <c r="B36" t="s">
        <v>142</v>
      </c>
      <c r="C36" t="s">
        <v>1116</v>
      </c>
      <c r="D36" t="s">
        <v>1127</v>
      </c>
      <c r="E36">
        <v>39.51</v>
      </c>
      <c r="F36">
        <v>295544</v>
      </c>
      <c r="G36" t="s">
        <v>1131</v>
      </c>
      <c r="H36" t="s">
        <v>1133</v>
      </c>
      <c r="K36" t="b">
        <f t="shared" si="0"/>
        <v>1</v>
      </c>
      <c r="N36" t="b">
        <f t="shared" si="1"/>
        <v>0</v>
      </c>
      <c r="P36" t="b">
        <f t="shared" si="2"/>
        <v>1</v>
      </c>
      <c r="S36" t="b">
        <f t="shared" si="3"/>
        <v>1</v>
      </c>
      <c r="V36" t="b">
        <f t="shared" si="4"/>
        <v>0</v>
      </c>
    </row>
    <row r="37" spans="1:22" x14ac:dyDescent="0.25">
      <c r="A37" t="s">
        <v>40</v>
      </c>
      <c r="B37" t="s">
        <v>143</v>
      </c>
      <c r="C37" t="s">
        <v>1113</v>
      </c>
      <c r="D37" t="s">
        <v>1121</v>
      </c>
      <c r="E37">
        <v>66.53</v>
      </c>
      <c r="F37">
        <v>417896</v>
      </c>
      <c r="G37" t="s">
        <v>1132</v>
      </c>
      <c r="H37" t="s">
        <v>1133</v>
      </c>
      <c r="K37" t="b">
        <f t="shared" si="0"/>
        <v>0</v>
      </c>
      <c r="N37" t="b">
        <f t="shared" si="1"/>
        <v>0</v>
      </c>
      <c r="P37" t="b">
        <f t="shared" si="2"/>
        <v>1</v>
      </c>
      <c r="S37" t="b">
        <f t="shared" si="3"/>
        <v>0</v>
      </c>
      <c r="V37" t="b">
        <f t="shared" si="4"/>
        <v>1</v>
      </c>
    </row>
    <row r="38" spans="1:22" x14ac:dyDescent="0.25">
      <c r="A38" t="s">
        <v>41</v>
      </c>
      <c r="B38" t="s">
        <v>144</v>
      </c>
      <c r="C38" t="s">
        <v>1111</v>
      </c>
      <c r="D38" t="s">
        <v>1119</v>
      </c>
      <c r="E38">
        <v>52.25</v>
      </c>
      <c r="F38">
        <v>103310</v>
      </c>
      <c r="G38" t="s">
        <v>1132</v>
      </c>
      <c r="H38" t="s">
        <v>1133</v>
      </c>
      <c r="K38" t="b">
        <f t="shared" si="0"/>
        <v>0</v>
      </c>
      <c r="N38" t="b">
        <f t="shared" si="1"/>
        <v>0</v>
      </c>
      <c r="P38" t="b">
        <f t="shared" si="2"/>
        <v>1</v>
      </c>
      <c r="S38" t="b">
        <f t="shared" si="3"/>
        <v>1</v>
      </c>
      <c r="V38" t="b">
        <f t="shared" si="4"/>
        <v>0</v>
      </c>
    </row>
    <row r="39" spans="1:22" x14ac:dyDescent="0.25">
      <c r="A39" t="s">
        <v>42</v>
      </c>
      <c r="B39" t="s">
        <v>145</v>
      </c>
      <c r="C39" t="s">
        <v>1117</v>
      </c>
      <c r="D39" t="s">
        <v>1123</v>
      </c>
      <c r="E39">
        <v>35.020000000000003</v>
      </c>
      <c r="F39">
        <v>929573</v>
      </c>
      <c r="G39" t="s">
        <v>1132</v>
      </c>
      <c r="H39" t="s">
        <v>1133</v>
      </c>
      <c r="K39" t="b">
        <f t="shared" si="0"/>
        <v>1</v>
      </c>
      <c r="N39" t="b">
        <f t="shared" si="1"/>
        <v>0</v>
      </c>
      <c r="P39" t="b">
        <f t="shared" si="2"/>
        <v>1</v>
      </c>
      <c r="S39" t="b">
        <f t="shared" si="3"/>
        <v>0</v>
      </c>
      <c r="V39" t="b">
        <f t="shared" si="4"/>
        <v>1</v>
      </c>
    </row>
    <row r="40" spans="1:22" x14ac:dyDescent="0.25">
      <c r="A40" t="s">
        <v>43</v>
      </c>
      <c r="B40" t="s">
        <v>146</v>
      </c>
      <c r="C40" t="s">
        <v>1116</v>
      </c>
      <c r="D40" t="s">
        <v>1127</v>
      </c>
      <c r="E40">
        <v>44.07</v>
      </c>
      <c r="F40">
        <v>603781</v>
      </c>
      <c r="G40" t="s">
        <v>1129</v>
      </c>
      <c r="H40" t="s">
        <v>1134</v>
      </c>
      <c r="K40" t="b">
        <f t="shared" si="0"/>
        <v>0</v>
      </c>
      <c r="N40" t="b">
        <f t="shared" si="1"/>
        <v>0</v>
      </c>
      <c r="P40" t="b">
        <f t="shared" si="2"/>
        <v>1</v>
      </c>
      <c r="S40" t="b">
        <f t="shared" si="3"/>
        <v>1</v>
      </c>
      <c r="V40" t="b">
        <f t="shared" si="4"/>
        <v>0</v>
      </c>
    </row>
    <row r="41" spans="1:22" x14ac:dyDescent="0.25">
      <c r="A41" t="s">
        <v>40</v>
      </c>
      <c r="B41" t="s">
        <v>147</v>
      </c>
      <c r="C41" t="s">
        <v>1113</v>
      </c>
      <c r="D41" t="s">
        <v>1126</v>
      </c>
      <c r="E41">
        <v>42.97</v>
      </c>
      <c r="F41">
        <v>706159</v>
      </c>
      <c r="G41" t="s">
        <v>1130</v>
      </c>
      <c r="H41" t="s">
        <v>1134</v>
      </c>
      <c r="K41" t="b">
        <f t="shared" si="0"/>
        <v>1</v>
      </c>
      <c r="N41" t="b">
        <f t="shared" si="1"/>
        <v>0</v>
      </c>
      <c r="P41" t="b">
        <f t="shared" si="2"/>
        <v>1</v>
      </c>
      <c r="S41" t="b">
        <f t="shared" si="3"/>
        <v>0</v>
      </c>
      <c r="V41" t="b">
        <f t="shared" si="4"/>
        <v>1</v>
      </c>
    </row>
    <row r="42" spans="1:22" x14ac:dyDescent="0.25">
      <c r="A42" t="s">
        <v>44</v>
      </c>
      <c r="B42" t="s">
        <v>148</v>
      </c>
      <c r="C42" t="s">
        <v>1113</v>
      </c>
      <c r="D42" t="s">
        <v>1118</v>
      </c>
      <c r="E42">
        <v>68.78</v>
      </c>
      <c r="F42">
        <v>560110</v>
      </c>
      <c r="G42" t="s">
        <v>1128</v>
      </c>
      <c r="H42" t="s">
        <v>1133</v>
      </c>
      <c r="K42" t="b">
        <f t="shared" si="0"/>
        <v>0</v>
      </c>
      <c r="N42" t="b">
        <f t="shared" si="1"/>
        <v>0</v>
      </c>
      <c r="P42" t="b">
        <f t="shared" si="2"/>
        <v>1</v>
      </c>
      <c r="S42" t="b">
        <f t="shared" si="3"/>
        <v>0</v>
      </c>
      <c r="V42" t="b">
        <f t="shared" si="4"/>
        <v>1</v>
      </c>
    </row>
    <row r="43" spans="1:22" x14ac:dyDescent="0.25">
      <c r="A43" t="s">
        <v>45</v>
      </c>
      <c r="B43" t="s">
        <v>149</v>
      </c>
      <c r="C43" t="s">
        <v>1110</v>
      </c>
      <c r="D43" t="s">
        <v>1118</v>
      </c>
      <c r="E43">
        <v>62.84</v>
      </c>
      <c r="F43">
        <v>819137</v>
      </c>
      <c r="G43" t="s">
        <v>1130</v>
      </c>
      <c r="H43" t="s">
        <v>1133</v>
      </c>
      <c r="K43" t="b">
        <f t="shared" si="0"/>
        <v>1</v>
      </c>
      <c r="N43" t="b">
        <f t="shared" si="1"/>
        <v>0</v>
      </c>
      <c r="P43" t="b">
        <f t="shared" si="2"/>
        <v>1</v>
      </c>
      <c r="S43" t="b">
        <f t="shared" si="3"/>
        <v>1</v>
      </c>
      <c r="V43" t="b">
        <f t="shared" si="4"/>
        <v>0</v>
      </c>
    </row>
    <row r="44" spans="1:22" x14ac:dyDescent="0.25">
      <c r="A44" t="s">
        <v>46</v>
      </c>
      <c r="B44" t="s">
        <v>150</v>
      </c>
      <c r="C44" t="s">
        <v>1109</v>
      </c>
      <c r="D44" t="s">
        <v>1124</v>
      </c>
      <c r="E44">
        <v>53.64</v>
      </c>
      <c r="F44">
        <v>613329</v>
      </c>
      <c r="G44" t="s">
        <v>1131</v>
      </c>
      <c r="H44" t="s">
        <v>1133</v>
      </c>
      <c r="K44" t="b">
        <f t="shared" si="0"/>
        <v>1</v>
      </c>
      <c r="N44" t="b">
        <f t="shared" si="1"/>
        <v>0</v>
      </c>
      <c r="P44" t="b">
        <f t="shared" si="2"/>
        <v>1</v>
      </c>
      <c r="S44" t="b">
        <f t="shared" si="3"/>
        <v>0</v>
      </c>
      <c r="V44" t="b">
        <f t="shared" si="4"/>
        <v>1</v>
      </c>
    </row>
    <row r="45" spans="1:22" x14ac:dyDescent="0.25">
      <c r="A45" t="s">
        <v>47</v>
      </c>
      <c r="B45" t="s">
        <v>151</v>
      </c>
      <c r="C45" t="s">
        <v>1116</v>
      </c>
      <c r="D45" t="s">
        <v>1118</v>
      </c>
      <c r="E45">
        <v>43.66</v>
      </c>
      <c r="F45">
        <v>577831</v>
      </c>
      <c r="G45" t="s">
        <v>1128</v>
      </c>
      <c r="H45" t="s">
        <v>1133</v>
      </c>
      <c r="K45" t="b">
        <f t="shared" si="0"/>
        <v>1</v>
      </c>
      <c r="N45" t="b">
        <f t="shared" si="1"/>
        <v>0</v>
      </c>
      <c r="P45" t="b">
        <f t="shared" si="2"/>
        <v>1</v>
      </c>
      <c r="S45" t="b">
        <f t="shared" si="3"/>
        <v>0</v>
      </c>
      <c r="V45" t="b">
        <f t="shared" si="4"/>
        <v>1</v>
      </c>
    </row>
    <row r="46" spans="1:22" x14ac:dyDescent="0.25">
      <c r="A46" t="s">
        <v>48</v>
      </c>
      <c r="B46" t="s">
        <v>152</v>
      </c>
      <c r="C46" t="s">
        <v>1112</v>
      </c>
      <c r="D46" t="s">
        <v>1122</v>
      </c>
      <c r="E46">
        <v>96.48</v>
      </c>
      <c r="F46">
        <v>118937</v>
      </c>
      <c r="G46" t="s">
        <v>1130</v>
      </c>
      <c r="H46" t="s">
        <v>1133</v>
      </c>
      <c r="K46" t="b">
        <f t="shared" si="0"/>
        <v>1</v>
      </c>
      <c r="N46" t="b">
        <f t="shared" si="1"/>
        <v>0</v>
      </c>
      <c r="P46" t="b">
        <f t="shared" si="2"/>
        <v>1</v>
      </c>
      <c r="S46" t="b">
        <f t="shared" si="3"/>
        <v>0</v>
      </c>
      <c r="V46" t="b">
        <f t="shared" si="4"/>
        <v>1</v>
      </c>
    </row>
    <row r="47" spans="1:22" x14ac:dyDescent="0.25">
      <c r="A47" t="s">
        <v>49</v>
      </c>
      <c r="B47" t="s">
        <v>153</v>
      </c>
      <c r="C47" t="s">
        <v>1114</v>
      </c>
      <c r="D47" t="s">
        <v>1119</v>
      </c>
      <c r="E47">
        <v>40.1</v>
      </c>
      <c r="F47">
        <v>355845</v>
      </c>
      <c r="G47" t="s">
        <v>1132</v>
      </c>
      <c r="H47" t="s">
        <v>1133</v>
      </c>
      <c r="K47" t="b">
        <f t="shared" si="0"/>
        <v>0</v>
      </c>
      <c r="N47" t="b">
        <f t="shared" si="1"/>
        <v>0</v>
      </c>
      <c r="P47" t="b">
        <f t="shared" si="2"/>
        <v>1</v>
      </c>
      <c r="S47" t="b">
        <f t="shared" si="3"/>
        <v>1</v>
      </c>
      <c r="V47" t="b">
        <f t="shared" si="4"/>
        <v>0</v>
      </c>
    </row>
    <row r="48" spans="1:22" x14ac:dyDescent="0.25">
      <c r="A48" t="s">
        <v>31</v>
      </c>
      <c r="B48" t="s">
        <v>154</v>
      </c>
      <c r="C48" t="s">
        <v>1108</v>
      </c>
      <c r="D48" t="s">
        <v>1120</v>
      </c>
      <c r="E48">
        <v>54.43</v>
      </c>
      <c r="F48">
        <v>705242</v>
      </c>
      <c r="G48" t="s">
        <v>1128</v>
      </c>
      <c r="H48" t="s">
        <v>1133</v>
      </c>
      <c r="K48" t="b">
        <f t="shared" si="0"/>
        <v>0</v>
      </c>
      <c r="N48" t="b">
        <f t="shared" si="1"/>
        <v>0</v>
      </c>
      <c r="P48" t="b">
        <f t="shared" si="2"/>
        <v>1</v>
      </c>
      <c r="S48" t="b">
        <f t="shared" si="3"/>
        <v>0</v>
      </c>
      <c r="V48" t="b">
        <f t="shared" si="4"/>
        <v>1</v>
      </c>
    </row>
    <row r="49" spans="1:22" x14ac:dyDescent="0.25">
      <c r="A49" t="s">
        <v>50</v>
      </c>
      <c r="B49" t="s">
        <v>155</v>
      </c>
      <c r="C49" t="s">
        <v>1111</v>
      </c>
      <c r="D49" t="s">
        <v>1126</v>
      </c>
      <c r="E49">
        <v>93.47</v>
      </c>
      <c r="F49">
        <v>968710</v>
      </c>
      <c r="G49" t="s">
        <v>1131</v>
      </c>
      <c r="H49" t="s">
        <v>1133</v>
      </c>
      <c r="K49" t="b">
        <f t="shared" si="0"/>
        <v>1</v>
      </c>
      <c r="N49" t="b">
        <f t="shared" si="1"/>
        <v>0</v>
      </c>
      <c r="P49" t="b">
        <f t="shared" si="2"/>
        <v>1</v>
      </c>
      <c r="S49" t="b">
        <f t="shared" si="3"/>
        <v>1</v>
      </c>
      <c r="V49" t="b">
        <f t="shared" si="4"/>
        <v>0</v>
      </c>
    </row>
    <row r="50" spans="1:22" x14ac:dyDescent="0.25">
      <c r="A50" t="s">
        <v>19</v>
      </c>
      <c r="B50" t="s">
        <v>156</v>
      </c>
      <c r="C50" t="s">
        <v>1109</v>
      </c>
      <c r="D50" t="s">
        <v>1122</v>
      </c>
      <c r="E50">
        <v>80.17</v>
      </c>
      <c r="F50">
        <v>610624</v>
      </c>
      <c r="G50" t="s">
        <v>1129</v>
      </c>
      <c r="H50" t="s">
        <v>1133</v>
      </c>
      <c r="K50" t="b">
        <f t="shared" si="0"/>
        <v>1</v>
      </c>
      <c r="N50" t="b">
        <f t="shared" si="1"/>
        <v>0</v>
      </c>
      <c r="P50" t="b">
        <f t="shared" si="2"/>
        <v>1</v>
      </c>
      <c r="S50" t="b">
        <f t="shared" si="3"/>
        <v>0</v>
      </c>
      <c r="V50" t="b">
        <f t="shared" si="4"/>
        <v>1</v>
      </c>
    </row>
    <row r="51" spans="1:22" x14ac:dyDescent="0.25">
      <c r="A51" t="s">
        <v>24</v>
      </c>
      <c r="B51" t="s">
        <v>157</v>
      </c>
      <c r="C51" t="s">
        <v>1115</v>
      </c>
      <c r="D51" t="s">
        <v>1124</v>
      </c>
      <c r="E51">
        <v>52.21</v>
      </c>
      <c r="F51">
        <v>259586</v>
      </c>
      <c r="G51" t="s">
        <v>1129</v>
      </c>
      <c r="H51" t="s">
        <v>1133</v>
      </c>
      <c r="K51" t="b">
        <f t="shared" si="0"/>
        <v>1</v>
      </c>
      <c r="N51" t="b">
        <f t="shared" si="1"/>
        <v>0</v>
      </c>
      <c r="P51" t="b">
        <f t="shared" si="2"/>
        <v>1</v>
      </c>
      <c r="S51" t="b">
        <f t="shared" si="3"/>
        <v>1</v>
      </c>
      <c r="V51" t="b">
        <f t="shared" si="4"/>
        <v>0</v>
      </c>
    </row>
    <row r="52" spans="1:22" x14ac:dyDescent="0.25">
      <c r="A52" t="s">
        <v>51</v>
      </c>
      <c r="B52" t="s">
        <v>158</v>
      </c>
      <c r="C52" t="s">
        <v>1114</v>
      </c>
      <c r="D52" t="s">
        <v>1126</v>
      </c>
      <c r="E52">
        <v>52.26</v>
      </c>
      <c r="F52">
        <v>689916</v>
      </c>
      <c r="G52" t="s">
        <v>1129</v>
      </c>
      <c r="H52" t="s">
        <v>1133</v>
      </c>
      <c r="K52" t="b">
        <f t="shared" si="0"/>
        <v>1</v>
      </c>
      <c r="N52" t="b">
        <f t="shared" si="1"/>
        <v>0</v>
      </c>
      <c r="P52" t="b">
        <f t="shared" si="2"/>
        <v>1</v>
      </c>
      <c r="S52" t="b">
        <f t="shared" si="3"/>
        <v>0</v>
      </c>
      <c r="V52" t="b">
        <f t="shared" si="4"/>
        <v>1</v>
      </c>
    </row>
    <row r="53" spans="1:22" x14ac:dyDescent="0.25">
      <c r="A53" t="s">
        <v>16</v>
      </c>
      <c r="B53" t="s">
        <v>159</v>
      </c>
      <c r="C53" t="s">
        <v>1117</v>
      </c>
      <c r="D53" t="s">
        <v>1127</v>
      </c>
      <c r="E53">
        <v>39.21</v>
      </c>
      <c r="F53">
        <v>305886</v>
      </c>
      <c r="G53" t="s">
        <v>1132</v>
      </c>
      <c r="H53" t="s">
        <v>1134</v>
      </c>
      <c r="K53" t="b">
        <f t="shared" si="0"/>
        <v>1</v>
      </c>
      <c r="N53" t="b">
        <f t="shared" si="1"/>
        <v>0</v>
      </c>
      <c r="P53" t="b">
        <f t="shared" si="2"/>
        <v>1</v>
      </c>
      <c r="S53" t="b">
        <f t="shared" si="3"/>
        <v>0</v>
      </c>
      <c r="V53" t="b">
        <f t="shared" si="4"/>
        <v>1</v>
      </c>
    </row>
    <row r="54" spans="1:22" x14ac:dyDescent="0.25">
      <c r="A54" t="s">
        <v>22</v>
      </c>
      <c r="B54" t="s">
        <v>160</v>
      </c>
      <c r="C54" t="s">
        <v>1115</v>
      </c>
      <c r="D54" t="s">
        <v>1118</v>
      </c>
      <c r="E54">
        <v>72.260000000000005</v>
      </c>
      <c r="F54">
        <v>893745</v>
      </c>
      <c r="G54" t="s">
        <v>1129</v>
      </c>
      <c r="H54" t="s">
        <v>1133</v>
      </c>
      <c r="K54" t="b">
        <f t="shared" si="0"/>
        <v>1</v>
      </c>
      <c r="N54" t="b">
        <f t="shared" si="1"/>
        <v>0</v>
      </c>
      <c r="P54" t="b">
        <f t="shared" si="2"/>
        <v>1</v>
      </c>
      <c r="S54" t="b">
        <f t="shared" si="3"/>
        <v>0</v>
      </c>
      <c r="V54" t="b">
        <f t="shared" si="4"/>
        <v>1</v>
      </c>
    </row>
    <row r="55" spans="1:22" x14ac:dyDescent="0.25">
      <c r="A55" t="s">
        <v>52</v>
      </c>
      <c r="B55" t="s">
        <v>161</v>
      </c>
      <c r="C55" t="s">
        <v>1116</v>
      </c>
      <c r="D55" t="s">
        <v>1123</v>
      </c>
      <c r="E55">
        <v>73.7</v>
      </c>
      <c r="F55">
        <v>446380</v>
      </c>
      <c r="G55" t="s">
        <v>1131</v>
      </c>
      <c r="H55" t="s">
        <v>1133</v>
      </c>
      <c r="K55" t="b">
        <f t="shared" si="0"/>
        <v>1</v>
      </c>
      <c r="N55" t="b">
        <f t="shared" si="1"/>
        <v>0</v>
      </c>
      <c r="P55" t="b">
        <f t="shared" si="2"/>
        <v>1</v>
      </c>
      <c r="S55" t="b">
        <f t="shared" si="3"/>
        <v>0</v>
      </c>
      <c r="V55" t="b">
        <f t="shared" si="4"/>
        <v>1</v>
      </c>
    </row>
    <row r="56" spans="1:22" x14ac:dyDescent="0.25">
      <c r="A56" t="s">
        <v>18</v>
      </c>
      <c r="B56" t="s">
        <v>162</v>
      </c>
      <c r="C56" t="s">
        <v>1112</v>
      </c>
      <c r="D56" t="s">
        <v>1120</v>
      </c>
      <c r="E56">
        <v>54.02</v>
      </c>
      <c r="F56">
        <v>404144</v>
      </c>
      <c r="G56" t="s">
        <v>1130</v>
      </c>
      <c r="H56" t="s">
        <v>1134</v>
      </c>
      <c r="K56" t="b">
        <f t="shared" si="0"/>
        <v>1</v>
      </c>
      <c r="N56" t="b">
        <f t="shared" si="1"/>
        <v>0</v>
      </c>
      <c r="P56" t="b">
        <f t="shared" si="2"/>
        <v>1</v>
      </c>
      <c r="S56" t="b">
        <f t="shared" si="3"/>
        <v>1</v>
      </c>
      <c r="V56" t="b">
        <f t="shared" si="4"/>
        <v>0</v>
      </c>
    </row>
    <row r="57" spans="1:22" x14ac:dyDescent="0.25">
      <c r="A57" t="s">
        <v>53</v>
      </c>
      <c r="B57" t="s">
        <v>163</v>
      </c>
      <c r="C57" t="s">
        <v>1111</v>
      </c>
      <c r="D57" t="s">
        <v>1118</v>
      </c>
      <c r="E57">
        <v>43.98</v>
      </c>
      <c r="F57">
        <v>260884</v>
      </c>
      <c r="G57" t="s">
        <v>1129</v>
      </c>
      <c r="H57" t="s">
        <v>1133</v>
      </c>
      <c r="K57" t="b">
        <f t="shared" si="0"/>
        <v>1</v>
      </c>
      <c r="N57" t="b">
        <f t="shared" si="1"/>
        <v>0</v>
      </c>
      <c r="P57" t="b">
        <f t="shared" si="2"/>
        <v>1</v>
      </c>
      <c r="S57" t="b">
        <f t="shared" si="3"/>
        <v>1</v>
      </c>
      <c r="V57" t="b">
        <f t="shared" si="4"/>
        <v>0</v>
      </c>
    </row>
    <row r="58" spans="1:22" x14ac:dyDescent="0.25">
      <c r="A58" t="s">
        <v>46</v>
      </c>
      <c r="B58" t="s">
        <v>164</v>
      </c>
      <c r="C58" t="s">
        <v>1109</v>
      </c>
      <c r="D58" t="s">
        <v>1124</v>
      </c>
      <c r="E58">
        <v>89.78</v>
      </c>
      <c r="F58">
        <v>216608</v>
      </c>
      <c r="G58" t="s">
        <v>1128</v>
      </c>
      <c r="H58" t="s">
        <v>1133</v>
      </c>
      <c r="K58" t="b">
        <f t="shared" si="0"/>
        <v>1</v>
      </c>
      <c r="N58" t="b">
        <f t="shared" si="1"/>
        <v>0</v>
      </c>
      <c r="P58" t="b">
        <f t="shared" si="2"/>
        <v>1</v>
      </c>
      <c r="S58" t="b">
        <f t="shared" si="3"/>
        <v>0</v>
      </c>
      <c r="V58" t="b">
        <f t="shared" si="4"/>
        <v>1</v>
      </c>
    </row>
    <row r="59" spans="1:22" x14ac:dyDescent="0.25">
      <c r="A59" t="s">
        <v>45</v>
      </c>
      <c r="B59" t="s">
        <v>165</v>
      </c>
      <c r="C59" t="s">
        <v>1115</v>
      </c>
      <c r="D59" t="s">
        <v>1122</v>
      </c>
      <c r="E59">
        <v>62.8</v>
      </c>
      <c r="F59">
        <v>886120</v>
      </c>
      <c r="G59" t="s">
        <v>1130</v>
      </c>
      <c r="H59" t="s">
        <v>1133</v>
      </c>
      <c r="K59" t="b">
        <f t="shared" si="0"/>
        <v>1</v>
      </c>
      <c r="N59" t="b">
        <f t="shared" si="1"/>
        <v>0</v>
      </c>
      <c r="P59" t="b">
        <f t="shared" si="2"/>
        <v>1</v>
      </c>
      <c r="S59" t="b">
        <f t="shared" si="3"/>
        <v>0</v>
      </c>
      <c r="V59" t="b">
        <f t="shared" si="4"/>
        <v>1</v>
      </c>
    </row>
    <row r="60" spans="1:22" x14ac:dyDescent="0.25">
      <c r="A60" t="s">
        <v>27</v>
      </c>
      <c r="B60" t="s">
        <v>166</v>
      </c>
      <c r="C60" t="s">
        <v>1112</v>
      </c>
      <c r="D60" t="s">
        <v>1125</v>
      </c>
      <c r="E60">
        <v>97.75</v>
      </c>
      <c r="F60">
        <v>120410</v>
      </c>
      <c r="G60" t="s">
        <v>1131</v>
      </c>
      <c r="H60" t="s">
        <v>1133</v>
      </c>
      <c r="K60" t="b">
        <f t="shared" si="0"/>
        <v>0</v>
      </c>
      <c r="N60" t="b">
        <f t="shared" si="1"/>
        <v>0</v>
      </c>
      <c r="P60" t="b">
        <f t="shared" si="2"/>
        <v>1</v>
      </c>
      <c r="S60" t="b">
        <f t="shared" si="3"/>
        <v>1</v>
      </c>
      <c r="V60" t="b">
        <f t="shared" si="4"/>
        <v>0</v>
      </c>
    </row>
    <row r="61" spans="1:22" x14ac:dyDescent="0.25">
      <c r="A61" t="s">
        <v>54</v>
      </c>
      <c r="B61" t="s">
        <v>167</v>
      </c>
      <c r="C61" t="s">
        <v>1108</v>
      </c>
      <c r="D61" t="s">
        <v>1121</v>
      </c>
      <c r="E61">
        <v>43.91</v>
      </c>
      <c r="F61">
        <v>394115</v>
      </c>
      <c r="G61" t="s">
        <v>1130</v>
      </c>
      <c r="H61" t="s">
        <v>1133</v>
      </c>
      <c r="K61" t="b">
        <f t="shared" si="0"/>
        <v>1</v>
      </c>
      <c r="N61" t="b">
        <f t="shared" si="1"/>
        <v>0</v>
      </c>
      <c r="P61" t="b">
        <f t="shared" si="2"/>
        <v>1</v>
      </c>
      <c r="S61" t="b">
        <f t="shared" si="3"/>
        <v>0</v>
      </c>
      <c r="V61" t="b">
        <f t="shared" si="4"/>
        <v>1</v>
      </c>
    </row>
    <row r="62" spans="1:22" x14ac:dyDescent="0.25">
      <c r="A62" t="s">
        <v>25</v>
      </c>
      <c r="B62" t="s">
        <v>168</v>
      </c>
      <c r="C62" t="s">
        <v>1109</v>
      </c>
      <c r="D62" t="s">
        <v>1119</v>
      </c>
      <c r="E62">
        <v>70.75</v>
      </c>
      <c r="F62">
        <v>167305</v>
      </c>
      <c r="G62" t="s">
        <v>1132</v>
      </c>
      <c r="H62" t="s">
        <v>1133</v>
      </c>
      <c r="K62" t="b">
        <f t="shared" si="0"/>
        <v>1</v>
      </c>
      <c r="N62" t="b">
        <f t="shared" si="1"/>
        <v>0</v>
      </c>
      <c r="P62" t="b">
        <f t="shared" si="2"/>
        <v>1</v>
      </c>
      <c r="S62" t="b">
        <f t="shared" si="3"/>
        <v>1</v>
      </c>
      <c r="V62" t="b">
        <f t="shared" si="4"/>
        <v>0</v>
      </c>
    </row>
    <row r="63" spans="1:22" x14ac:dyDescent="0.25">
      <c r="A63" t="s">
        <v>55</v>
      </c>
      <c r="B63" t="s">
        <v>169</v>
      </c>
      <c r="C63" t="s">
        <v>1109</v>
      </c>
      <c r="D63" t="s">
        <v>1124</v>
      </c>
      <c r="E63">
        <v>80.28</v>
      </c>
      <c r="F63">
        <v>263214</v>
      </c>
      <c r="G63" t="s">
        <v>1130</v>
      </c>
      <c r="H63" t="s">
        <v>1133</v>
      </c>
      <c r="K63" t="b">
        <f t="shared" si="0"/>
        <v>0</v>
      </c>
      <c r="N63" t="b">
        <f t="shared" si="1"/>
        <v>0</v>
      </c>
      <c r="P63" t="b">
        <f t="shared" si="2"/>
        <v>1</v>
      </c>
      <c r="S63" t="b">
        <f t="shared" si="3"/>
        <v>0</v>
      </c>
      <c r="V63" t="b">
        <f t="shared" si="4"/>
        <v>1</v>
      </c>
    </row>
    <row r="64" spans="1:22" x14ac:dyDescent="0.25">
      <c r="A64" t="s">
        <v>45</v>
      </c>
      <c r="B64" t="s">
        <v>170</v>
      </c>
      <c r="C64" t="s">
        <v>1111</v>
      </c>
      <c r="D64" t="s">
        <v>1127</v>
      </c>
      <c r="E64">
        <v>37.47</v>
      </c>
      <c r="F64">
        <v>218475</v>
      </c>
      <c r="G64" t="s">
        <v>1129</v>
      </c>
      <c r="H64" t="s">
        <v>1133</v>
      </c>
      <c r="K64" t="b">
        <f t="shared" si="0"/>
        <v>1</v>
      </c>
      <c r="N64" t="b">
        <f t="shared" si="1"/>
        <v>0</v>
      </c>
      <c r="P64" t="b">
        <f t="shared" si="2"/>
        <v>1</v>
      </c>
      <c r="S64" t="b">
        <f t="shared" si="3"/>
        <v>0</v>
      </c>
      <c r="V64" t="b">
        <f t="shared" si="4"/>
        <v>1</v>
      </c>
    </row>
    <row r="65" spans="1:22" x14ac:dyDescent="0.25">
      <c r="A65" t="s">
        <v>42</v>
      </c>
      <c r="B65" t="s">
        <v>171</v>
      </c>
      <c r="C65" t="s">
        <v>1111</v>
      </c>
      <c r="D65" t="s">
        <v>1127</v>
      </c>
      <c r="E65">
        <v>55.49</v>
      </c>
      <c r="F65">
        <v>253132</v>
      </c>
      <c r="G65" t="s">
        <v>1128</v>
      </c>
      <c r="H65" t="s">
        <v>1133</v>
      </c>
      <c r="K65" t="b">
        <f t="shared" si="0"/>
        <v>1</v>
      </c>
      <c r="N65" t="b">
        <f t="shared" si="1"/>
        <v>0</v>
      </c>
      <c r="P65" t="b">
        <f t="shared" si="2"/>
        <v>1</v>
      </c>
      <c r="S65" t="b">
        <f t="shared" si="3"/>
        <v>0</v>
      </c>
      <c r="V65" t="b">
        <f t="shared" si="4"/>
        <v>1</v>
      </c>
    </row>
    <row r="66" spans="1:22" x14ac:dyDescent="0.25">
      <c r="A66" t="s">
        <v>22</v>
      </c>
      <c r="B66" t="s">
        <v>172</v>
      </c>
      <c r="C66" t="s">
        <v>1109</v>
      </c>
      <c r="D66" t="s">
        <v>1125</v>
      </c>
      <c r="E66">
        <v>90.57</v>
      </c>
      <c r="F66">
        <v>855439</v>
      </c>
      <c r="G66" t="s">
        <v>1128</v>
      </c>
      <c r="H66" t="s">
        <v>1133</v>
      </c>
      <c r="K66" t="b">
        <f t="shared" si="0"/>
        <v>1</v>
      </c>
      <c r="N66" t="b">
        <f t="shared" si="1"/>
        <v>0</v>
      </c>
      <c r="P66" t="b">
        <f t="shared" si="2"/>
        <v>1</v>
      </c>
      <c r="S66" t="b">
        <f t="shared" si="3"/>
        <v>0</v>
      </c>
      <c r="V66" t="b">
        <f t="shared" si="4"/>
        <v>1</v>
      </c>
    </row>
    <row r="67" spans="1:22" x14ac:dyDescent="0.25">
      <c r="A67" t="s">
        <v>26</v>
      </c>
      <c r="B67" t="s">
        <v>173</v>
      </c>
      <c r="C67" t="s">
        <v>1116</v>
      </c>
      <c r="D67" t="s">
        <v>1123</v>
      </c>
      <c r="E67">
        <v>43.12</v>
      </c>
      <c r="F67">
        <v>911123</v>
      </c>
      <c r="G67" t="s">
        <v>1129</v>
      </c>
      <c r="H67" t="s">
        <v>1134</v>
      </c>
      <c r="K67" t="b">
        <f t="shared" si="0"/>
        <v>1</v>
      </c>
      <c r="N67" t="b">
        <f t="shared" si="1"/>
        <v>0</v>
      </c>
      <c r="P67" t="b">
        <f t="shared" si="2"/>
        <v>1</v>
      </c>
      <c r="S67" t="b">
        <f t="shared" si="3"/>
        <v>1</v>
      </c>
      <c r="V67" t="b">
        <f t="shared" si="4"/>
        <v>0</v>
      </c>
    </row>
    <row r="68" spans="1:22" x14ac:dyDescent="0.25">
      <c r="A68" t="s">
        <v>56</v>
      </c>
      <c r="B68" t="s">
        <v>174</v>
      </c>
      <c r="C68" t="s">
        <v>1115</v>
      </c>
      <c r="D68" t="s">
        <v>1121</v>
      </c>
      <c r="E68">
        <v>93.47</v>
      </c>
      <c r="F68">
        <v>903123</v>
      </c>
      <c r="G68" t="s">
        <v>1130</v>
      </c>
      <c r="H68" t="s">
        <v>1133</v>
      </c>
      <c r="K68" t="b">
        <f t="shared" si="0"/>
        <v>1</v>
      </c>
      <c r="N68" t="b">
        <f t="shared" si="1"/>
        <v>0</v>
      </c>
      <c r="P68" t="b">
        <f t="shared" si="2"/>
        <v>1</v>
      </c>
      <c r="S68" t="b">
        <f t="shared" si="3"/>
        <v>0</v>
      </c>
      <c r="V68" t="b">
        <f t="shared" si="4"/>
        <v>1</v>
      </c>
    </row>
    <row r="69" spans="1:22" x14ac:dyDescent="0.25">
      <c r="A69" t="s">
        <v>57</v>
      </c>
      <c r="B69" t="s">
        <v>175</v>
      </c>
      <c r="C69" t="s">
        <v>1115</v>
      </c>
      <c r="D69" t="s">
        <v>1123</v>
      </c>
      <c r="E69">
        <v>75.53</v>
      </c>
      <c r="F69">
        <v>437291</v>
      </c>
      <c r="G69" t="s">
        <v>1129</v>
      </c>
      <c r="H69" t="s">
        <v>1134</v>
      </c>
      <c r="K69" t="b">
        <f t="shared" si="0"/>
        <v>1</v>
      </c>
      <c r="N69" t="b">
        <f t="shared" si="1"/>
        <v>0</v>
      </c>
      <c r="P69" t="b">
        <f t="shared" si="2"/>
        <v>1</v>
      </c>
      <c r="S69" t="b">
        <f t="shared" si="3"/>
        <v>0</v>
      </c>
      <c r="V69" t="b">
        <f t="shared" si="4"/>
        <v>1</v>
      </c>
    </row>
    <row r="70" spans="1:22" x14ac:dyDescent="0.25">
      <c r="A70" t="s">
        <v>38</v>
      </c>
      <c r="B70" t="s">
        <v>176</v>
      </c>
      <c r="C70" t="s">
        <v>1116</v>
      </c>
      <c r="D70" t="s">
        <v>1123</v>
      </c>
      <c r="E70">
        <v>65.64</v>
      </c>
      <c r="F70">
        <v>564985</v>
      </c>
      <c r="G70" t="s">
        <v>1131</v>
      </c>
      <c r="H70" t="s">
        <v>1133</v>
      </c>
      <c r="K70" t="b">
        <f t="shared" si="0"/>
        <v>1</v>
      </c>
      <c r="N70" t="b">
        <f t="shared" si="1"/>
        <v>0</v>
      </c>
      <c r="P70" t="b">
        <f t="shared" si="2"/>
        <v>1</v>
      </c>
      <c r="S70" t="b">
        <f t="shared" si="3"/>
        <v>0</v>
      </c>
      <c r="V70" t="b">
        <f t="shared" si="4"/>
        <v>1</v>
      </c>
    </row>
    <row r="71" spans="1:22" x14ac:dyDescent="0.25">
      <c r="A71" t="s">
        <v>9</v>
      </c>
      <c r="B71" t="s">
        <v>177</v>
      </c>
      <c r="C71" t="s">
        <v>1109</v>
      </c>
      <c r="D71" t="s">
        <v>1126</v>
      </c>
      <c r="E71">
        <v>95.34</v>
      </c>
      <c r="F71">
        <v>709323</v>
      </c>
      <c r="G71" t="s">
        <v>1129</v>
      </c>
      <c r="H71" t="s">
        <v>1133</v>
      </c>
      <c r="K71" t="b">
        <f t="shared" si="0"/>
        <v>1</v>
      </c>
      <c r="N71" t="b">
        <f t="shared" si="1"/>
        <v>0</v>
      </c>
      <c r="P71" t="b">
        <f t="shared" si="2"/>
        <v>1</v>
      </c>
      <c r="S71" t="b">
        <f t="shared" si="3"/>
        <v>0</v>
      </c>
      <c r="V71" t="b">
        <f t="shared" si="4"/>
        <v>1</v>
      </c>
    </row>
    <row r="72" spans="1:22" x14ac:dyDescent="0.25">
      <c r="A72" t="s">
        <v>54</v>
      </c>
      <c r="B72" t="s">
        <v>178</v>
      </c>
      <c r="C72" t="s">
        <v>1109</v>
      </c>
      <c r="D72" t="s">
        <v>1123</v>
      </c>
      <c r="E72">
        <v>43.31</v>
      </c>
      <c r="F72">
        <v>365459</v>
      </c>
      <c r="G72" t="s">
        <v>1131</v>
      </c>
      <c r="H72" t="s">
        <v>1133</v>
      </c>
      <c r="K72" t="b">
        <f t="shared" si="0"/>
        <v>1</v>
      </c>
      <c r="N72" t="b">
        <f t="shared" si="1"/>
        <v>0</v>
      </c>
      <c r="P72" t="b">
        <f t="shared" si="2"/>
        <v>1</v>
      </c>
      <c r="S72" t="b">
        <f t="shared" si="3"/>
        <v>0</v>
      </c>
      <c r="V72" t="b">
        <f t="shared" si="4"/>
        <v>1</v>
      </c>
    </row>
    <row r="73" spans="1:22" x14ac:dyDescent="0.25">
      <c r="A73" t="s">
        <v>58</v>
      </c>
      <c r="B73" t="s">
        <v>179</v>
      </c>
      <c r="C73" t="s">
        <v>1109</v>
      </c>
      <c r="D73" t="s">
        <v>1127</v>
      </c>
      <c r="E73">
        <v>99.67</v>
      </c>
      <c r="F73">
        <v>584561</v>
      </c>
      <c r="G73" t="s">
        <v>1130</v>
      </c>
      <c r="H73" t="s">
        <v>1133</v>
      </c>
      <c r="K73" t="b">
        <f t="shared" si="0"/>
        <v>1</v>
      </c>
      <c r="N73" t="b">
        <f t="shared" si="1"/>
        <v>0</v>
      </c>
      <c r="P73" t="b">
        <f t="shared" si="2"/>
        <v>1</v>
      </c>
      <c r="S73" t="b">
        <f t="shared" si="3"/>
        <v>0</v>
      </c>
      <c r="V73" t="b">
        <f t="shared" si="4"/>
        <v>1</v>
      </c>
    </row>
    <row r="74" spans="1:22" x14ac:dyDescent="0.25">
      <c r="A74" t="s">
        <v>59</v>
      </c>
      <c r="B74" t="s">
        <v>180</v>
      </c>
      <c r="C74" t="s">
        <v>1117</v>
      </c>
      <c r="D74" t="s">
        <v>1120</v>
      </c>
      <c r="E74">
        <v>63.15</v>
      </c>
      <c r="F74">
        <v>955011</v>
      </c>
      <c r="G74" t="s">
        <v>1130</v>
      </c>
      <c r="H74" t="s">
        <v>1133</v>
      </c>
      <c r="K74" t="b">
        <f t="shared" ref="K74:K111" si="5">H67=L$6</f>
        <v>0</v>
      </c>
      <c r="N74" t="b">
        <f t="shared" ref="N74:N111" si="6">F67&gt;P$6</f>
        <v>0</v>
      </c>
      <c r="P74" t="b">
        <f t="shared" ref="P74:P111" si="7">F67&lt;P$6</f>
        <v>1</v>
      </c>
      <c r="S74" t="b">
        <f t="shared" si="3"/>
        <v>1</v>
      </c>
      <c r="V74" t="b">
        <f t="shared" si="4"/>
        <v>0</v>
      </c>
    </row>
    <row r="75" spans="1:22" x14ac:dyDescent="0.25">
      <c r="A75" t="s">
        <v>60</v>
      </c>
      <c r="B75" t="s">
        <v>181</v>
      </c>
      <c r="C75" t="s">
        <v>1113</v>
      </c>
      <c r="D75" t="s">
        <v>1119</v>
      </c>
      <c r="E75">
        <v>60.05</v>
      </c>
      <c r="F75">
        <v>266244</v>
      </c>
      <c r="G75" t="s">
        <v>1132</v>
      </c>
      <c r="H75" t="s">
        <v>1133</v>
      </c>
      <c r="K75" t="b">
        <f t="shared" si="5"/>
        <v>1</v>
      </c>
      <c r="N75" t="b">
        <f t="shared" si="6"/>
        <v>0</v>
      </c>
      <c r="P75" t="b">
        <f t="shared" si="7"/>
        <v>1</v>
      </c>
      <c r="S75" t="b">
        <f t="shared" ref="S75:S110" si="8">F67&gt;=T$6</f>
        <v>1</v>
      </c>
      <c r="V75" t="b">
        <f t="shared" ref="V75:V111" si="9">F67&lt;=T$6</f>
        <v>0</v>
      </c>
    </row>
    <row r="76" spans="1:22" x14ac:dyDescent="0.25">
      <c r="A76" t="s">
        <v>26</v>
      </c>
      <c r="B76" t="s">
        <v>182</v>
      </c>
      <c r="C76" t="s">
        <v>1115</v>
      </c>
      <c r="D76" t="s">
        <v>1127</v>
      </c>
      <c r="E76">
        <v>49.28</v>
      </c>
      <c r="F76">
        <v>129405</v>
      </c>
      <c r="G76" t="s">
        <v>1130</v>
      </c>
      <c r="H76" t="s">
        <v>1133</v>
      </c>
      <c r="K76" t="b">
        <f t="shared" si="5"/>
        <v>0</v>
      </c>
      <c r="N76" t="b">
        <f t="shared" si="6"/>
        <v>0</v>
      </c>
      <c r="P76" t="b">
        <f t="shared" si="7"/>
        <v>1</v>
      </c>
      <c r="S76" t="b">
        <f t="shared" si="8"/>
        <v>1</v>
      </c>
      <c r="V76" t="b">
        <f t="shared" si="9"/>
        <v>0</v>
      </c>
    </row>
    <row r="77" spans="1:22" x14ac:dyDescent="0.25">
      <c r="A77" t="s">
        <v>35</v>
      </c>
      <c r="B77" t="s">
        <v>183</v>
      </c>
      <c r="C77" t="s">
        <v>1110</v>
      </c>
      <c r="D77" t="s">
        <v>1125</v>
      </c>
      <c r="E77">
        <v>81.02</v>
      </c>
      <c r="F77">
        <v>794301</v>
      </c>
      <c r="G77" t="s">
        <v>1128</v>
      </c>
      <c r="H77" t="s">
        <v>1133</v>
      </c>
      <c r="K77" t="b">
        <f t="shared" si="5"/>
        <v>1</v>
      </c>
      <c r="N77" t="b">
        <f t="shared" si="6"/>
        <v>0</v>
      </c>
      <c r="P77" t="b">
        <f t="shared" si="7"/>
        <v>1</v>
      </c>
      <c r="S77" t="b">
        <f t="shared" si="8"/>
        <v>0</v>
      </c>
      <c r="V77" t="b">
        <f t="shared" si="9"/>
        <v>1</v>
      </c>
    </row>
    <row r="78" spans="1:22" x14ac:dyDescent="0.25">
      <c r="A78" t="s">
        <v>20</v>
      </c>
      <c r="B78" t="s">
        <v>184</v>
      </c>
      <c r="C78" t="s">
        <v>1112</v>
      </c>
      <c r="D78" t="s">
        <v>1120</v>
      </c>
      <c r="E78">
        <v>81.56</v>
      </c>
      <c r="F78">
        <v>498731</v>
      </c>
      <c r="G78" t="s">
        <v>1131</v>
      </c>
      <c r="H78" t="s">
        <v>1133</v>
      </c>
      <c r="K78" t="b">
        <f t="shared" si="5"/>
        <v>1</v>
      </c>
      <c r="N78" t="b">
        <f t="shared" si="6"/>
        <v>0</v>
      </c>
      <c r="P78" t="b">
        <f t="shared" si="7"/>
        <v>1</v>
      </c>
      <c r="S78" t="b">
        <f t="shared" si="8"/>
        <v>0</v>
      </c>
      <c r="V78" t="b">
        <f t="shared" si="9"/>
        <v>1</v>
      </c>
    </row>
    <row r="79" spans="1:22" x14ac:dyDescent="0.25">
      <c r="A79" t="s">
        <v>36</v>
      </c>
      <c r="B79" t="s">
        <v>185</v>
      </c>
      <c r="C79" t="s">
        <v>1116</v>
      </c>
      <c r="D79" t="s">
        <v>1121</v>
      </c>
      <c r="E79">
        <v>35.54</v>
      </c>
      <c r="F79">
        <v>192196</v>
      </c>
      <c r="G79" t="s">
        <v>1128</v>
      </c>
      <c r="H79" t="s">
        <v>1133</v>
      </c>
      <c r="K79" t="b">
        <f t="shared" si="5"/>
        <v>1</v>
      </c>
      <c r="N79" t="b">
        <f t="shared" si="6"/>
        <v>0</v>
      </c>
      <c r="P79" t="b">
        <f t="shared" si="7"/>
        <v>1</v>
      </c>
      <c r="S79" t="b">
        <f t="shared" si="8"/>
        <v>1</v>
      </c>
      <c r="V79" t="b">
        <f t="shared" si="9"/>
        <v>0</v>
      </c>
    </row>
    <row r="80" spans="1:22" x14ac:dyDescent="0.25">
      <c r="A80" t="s">
        <v>61</v>
      </c>
      <c r="B80" t="s">
        <v>186</v>
      </c>
      <c r="C80" t="s">
        <v>1114</v>
      </c>
      <c r="D80" t="s">
        <v>1127</v>
      </c>
      <c r="E80">
        <v>83.3</v>
      </c>
      <c r="F80">
        <v>986631</v>
      </c>
      <c r="G80" t="s">
        <v>1131</v>
      </c>
      <c r="H80" t="s">
        <v>1133</v>
      </c>
      <c r="K80" t="b">
        <f t="shared" si="5"/>
        <v>1</v>
      </c>
      <c r="N80" t="b">
        <f t="shared" si="6"/>
        <v>0</v>
      </c>
      <c r="P80" t="b">
        <f t="shared" si="7"/>
        <v>1</v>
      </c>
      <c r="S80" t="b">
        <f t="shared" si="8"/>
        <v>0</v>
      </c>
      <c r="V80" t="b">
        <f t="shared" si="9"/>
        <v>1</v>
      </c>
    </row>
    <row r="81" spans="1:22" x14ac:dyDescent="0.25">
      <c r="A81" t="s">
        <v>14</v>
      </c>
      <c r="B81" t="s">
        <v>187</v>
      </c>
      <c r="C81" t="s">
        <v>1108</v>
      </c>
      <c r="D81" t="s">
        <v>1121</v>
      </c>
      <c r="E81">
        <v>85.44</v>
      </c>
      <c r="F81">
        <v>491372</v>
      </c>
      <c r="G81" t="s">
        <v>1130</v>
      </c>
      <c r="H81" t="s">
        <v>1133</v>
      </c>
      <c r="K81" t="b">
        <f t="shared" si="5"/>
        <v>1</v>
      </c>
      <c r="N81" t="b">
        <f t="shared" si="6"/>
        <v>0</v>
      </c>
      <c r="P81" t="b">
        <f t="shared" si="7"/>
        <v>1</v>
      </c>
      <c r="S81" t="b">
        <f t="shared" si="8"/>
        <v>0</v>
      </c>
      <c r="V81" t="b">
        <f t="shared" si="9"/>
        <v>1</v>
      </c>
    </row>
    <row r="82" spans="1:22" x14ac:dyDescent="0.25">
      <c r="A82" t="s">
        <v>41</v>
      </c>
      <c r="B82" t="s">
        <v>188</v>
      </c>
      <c r="C82" t="s">
        <v>1109</v>
      </c>
      <c r="D82" t="s">
        <v>1122</v>
      </c>
      <c r="E82">
        <v>63.59</v>
      </c>
      <c r="F82">
        <v>667799</v>
      </c>
      <c r="G82" t="s">
        <v>1130</v>
      </c>
      <c r="H82" t="s">
        <v>1134</v>
      </c>
      <c r="K82" t="b">
        <f t="shared" si="5"/>
        <v>1</v>
      </c>
      <c r="N82" t="b">
        <f t="shared" si="6"/>
        <v>0</v>
      </c>
      <c r="P82" t="b">
        <f t="shared" si="7"/>
        <v>1</v>
      </c>
      <c r="S82" t="b">
        <f t="shared" si="8"/>
        <v>1</v>
      </c>
      <c r="V82" t="b">
        <f t="shared" si="9"/>
        <v>0</v>
      </c>
    </row>
    <row r="83" spans="1:22" x14ac:dyDescent="0.25">
      <c r="A83" t="s">
        <v>59</v>
      </c>
      <c r="B83" t="s">
        <v>189</v>
      </c>
      <c r="C83" t="s">
        <v>1115</v>
      </c>
      <c r="D83" t="s">
        <v>1122</v>
      </c>
      <c r="E83">
        <v>50.24</v>
      </c>
      <c r="F83">
        <v>902387</v>
      </c>
      <c r="G83" t="s">
        <v>1132</v>
      </c>
      <c r="H83" t="s">
        <v>1134</v>
      </c>
      <c r="K83" t="b">
        <f t="shared" si="5"/>
        <v>1</v>
      </c>
      <c r="N83" t="b">
        <f t="shared" si="6"/>
        <v>0</v>
      </c>
      <c r="P83" t="b">
        <f t="shared" si="7"/>
        <v>1</v>
      </c>
      <c r="S83" t="b">
        <f t="shared" si="8"/>
        <v>0</v>
      </c>
      <c r="V83" t="b">
        <f t="shared" si="9"/>
        <v>1</v>
      </c>
    </row>
    <row r="84" spans="1:22" x14ac:dyDescent="0.25">
      <c r="A84" t="s">
        <v>62</v>
      </c>
      <c r="B84" t="s">
        <v>190</v>
      </c>
      <c r="C84" t="s">
        <v>1108</v>
      </c>
      <c r="D84" t="s">
        <v>1122</v>
      </c>
      <c r="E84">
        <v>84.74</v>
      </c>
      <c r="F84">
        <v>198339</v>
      </c>
      <c r="G84" t="s">
        <v>1129</v>
      </c>
      <c r="H84" t="s">
        <v>1133</v>
      </c>
      <c r="K84" t="b">
        <f t="shared" si="5"/>
        <v>1</v>
      </c>
      <c r="N84" t="b">
        <f t="shared" si="6"/>
        <v>0</v>
      </c>
      <c r="P84" t="b">
        <f t="shared" si="7"/>
        <v>1</v>
      </c>
      <c r="S84" t="b">
        <f t="shared" si="8"/>
        <v>0</v>
      </c>
      <c r="V84" t="b">
        <f t="shared" si="9"/>
        <v>1</v>
      </c>
    </row>
    <row r="85" spans="1:22" x14ac:dyDescent="0.25">
      <c r="A85" t="s">
        <v>63</v>
      </c>
      <c r="B85" t="s">
        <v>191</v>
      </c>
      <c r="C85" t="s">
        <v>1115</v>
      </c>
      <c r="D85" t="s">
        <v>1118</v>
      </c>
      <c r="E85">
        <v>93.14</v>
      </c>
      <c r="F85">
        <v>749511</v>
      </c>
      <c r="G85" t="s">
        <v>1128</v>
      </c>
      <c r="H85" t="s">
        <v>1133</v>
      </c>
      <c r="K85" t="b">
        <f t="shared" si="5"/>
        <v>1</v>
      </c>
      <c r="N85" t="b">
        <f t="shared" si="6"/>
        <v>0</v>
      </c>
      <c r="P85" t="b">
        <f t="shared" si="7"/>
        <v>1</v>
      </c>
      <c r="S85" t="b">
        <f t="shared" si="8"/>
        <v>1</v>
      </c>
      <c r="V85" t="b">
        <f t="shared" si="9"/>
        <v>0</v>
      </c>
    </row>
    <row r="86" spans="1:22" x14ac:dyDescent="0.25">
      <c r="A86" t="s">
        <v>64</v>
      </c>
      <c r="B86" t="s">
        <v>192</v>
      </c>
      <c r="C86" t="s">
        <v>1113</v>
      </c>
      <c r="D86" t="s">
        <v>1118</v>
      </c>
      <c r="E86">
        <v>40.26</v>
      </c>
      <c r="F86">
        <v>454694</v>
      </c>
      <c r="G86" t="s">
        <v>1131</v>
      </c>
      <c r="H86" t="s">
        <v>1133</v>
      </c>
      <c r="K86" t="b">
        <f t="shared" si="5"/>
        <v>1</v>
      </c>
      <c r="N86" t="b">
        <f t="shared" si="6"/>
        <v>0</v>
      </c>
      <c r="P86" t="b">
        <f t="shared" si="7"/>
        <v>1</v>
      </c>
      <c r="S86" t="b">
        <f t="shared" si="8"/>
        <v>0</v>
      </c>
      <c r="V86" t="b">
        <f t="shared" si="9"/>
        <v>1</v>
      </c>
    </row>
    <row r="87" spans="1:22" x14ac:dyDescent="0.25">
      <c r="A87" t="s">
        <v>50</v>
      </c>
      <c r="B87" t="s">
        <v>193</v>
      </c>
      <c r="C87" t="s">
        <v>1109</v>
      </c>
      <c r="D87" t="s">
        <v>1127</v>
      </c>
      <c r="E87">
        <v>89.54</v>
      </c>
      <c r="F87">
        <v>704037</v>
      </c>
      <c r="G87" t="s">
        <v>1128</v>
      </c>
      <c r="H87" t="s">
        <v>1133</v>
      </c>
      <c r="K87" t="b">
        <f t="shared" si="5"/>
        <v>1</v>
      </c>
      <c r="N87" t="b">
        <f t="shared" si="6"/>
        <v>0</v>
      </c>
      <c r="P87" t="b">
        <f t="shared" si="7"/>
        <v>1</v>
      </c>
      <c r="S87" t="b">
        <f t="shared" si="8"/>
        <v>0</v>
      </c>
      <c r="V87" t="b">
        <f t="shared" si="9"/>
        <v>1</v>
      </c>
    </row>
    <row r="88" spans="1:22" x14ac:dyDescent="0.25">
      <c r="A88" t="s">
        <v>39</v>
      </c>
      <c r="B88" t="s">
        <v>194</v>
      </c>
      <c r="C88" t="s">
        <v>1116</v>
      </c>
      <c r="D88" t="s">
        <v>1119</v>
      </c>
      <c r="E88">
        <v>60</v>
      </c>
      <c r="F88">
        <v>243371</v>
      </c>
      <c r="G88" t="s">
        <v>1132</v>
      </c>
      <c r="H88" t="s">
        <v>1133</v>
      </c>
      <c r="K88" t="b">
        <f t="shared" si="5"/>
        <v>1</v>
      </c>
      <c r="N88" t="b">
        <f t="shared" si="6"/>
        <v>0</v>
      </c>
      <c r="P88" t="b">
        <f t="shared" si="7"/>
        <v>1</v>
      </c>
      <c r="S88" t="b">
        <f t="shared" si="8"/>
        <v>1</v>
      </c>
      <c r="V88" t="b">
        <f t="shared" si="9"/>
        <v>0</v>
      </c>
    </row>
    <row r="89" spans="1:22" x14ac:dyDescent="0.25">
      <c r="A89" t="s">
        <v>65</v>
      </c>
      <c r="B89" t="s">
        <v>195</v>
      </c>
      <c r="C89" t="s">
        <v>1109</v>
      </c>
      <c r="D89" t="s">
        <v>1122</v>
      </c>
      <c r="E89">
        <v>67.83</v>
      </c>
      <c r="F89">
        <v>670945</v>
      </c>
      <c r="G89" t="s">
        <v>1130</v>
      </c>
      <c r="H89" t="s">
        <v>1133</v>
      </c>
      <c r="K89" t="b">
        <f t="shared" si="5"/>
        <v>0</v>
      </c>
      <c r="N89" t="b">
        <f t="shared" si="6"/>
        <v>0</v>
      </c>
      <c r="P89" t="b">
        <f t="shared" si="7"/>
        <v>1</v>
      </c>
      <c r="S89" t="b">
        <f t="shared" si="8"/>
        <v>0</v>
      </c>
      <c r="V89" t="b">
        <f t="shared" si="9"/>
        <v>1</v>
      </c>
    </row>
    <row r="90" spans="1:22" x14ac:dyDescent="0.25">
      <c r="A90" t="s">
        <v>66</v>
      </c>
      <c r="B90" t="s">
        <v>196</v>
      </c>
      <c r="C90" t="s">
        <v>1111</v>
      </c>
      <c r="D90" t="s">
        <v>1127</v>
      </c>
      <c r="E90">
        <v>83.55</v>
      </c>
      <c r="F90">
        <v>854042</v>
      </c>
      <c r="G90" t="s">
        <v>1130</v>
      </c>
      <c r="H90" t="s">
        <v>1133</v>
      </c>
      <c r="K90" t="b">
        <f t="shared" si="5"/>
        <v>0</v>
      </c>
      <c r="N90" t="b">
        <f t="shared" si="6"/>
        <v>0</v>
      </c>
      <c r="P90" t="b">
        <f t="shared" si="7"/>
        <v>1</v>
      </c>
      <c r="S90" t="b">
        <f t="shared" si="8"/>
        <v>1</v>
      </c>
      <c r="V90" t="b">
        <f t="shared" si="9"/>
        <v>0</v>
      </c>
    </row>
    <row r="91" spans="1:22" x14ac:dyDescent="0.25">
      <c r="A91" t="s">
        <v>19</v>
      </c>
      <c r="B91" t="s">
        <v>197</v>
      </c>
      <c r="C91" t="s">
        <v>1117</v>
      </c>
      <c r="D91" t="s">
        <v>1127</v>
      </c>
      <c r="E91">
        <v>57.04</v>
      </c>
      <c r="F91">
        <v>459741</v>
      </c>
      <c r="G91" t="s">
        <v>1131</v>
      </c>
      <c r="H91" t="s">
        <v>1133</v>
      </c>
      <c r="K91" t="b">
        <f t="shared" si="5"/>
        <v>1</v>
      </c>
      <c r="N91" t="b">
        <f t="shared" si="6"/>
        <v>0</v>
      </c>
      <c r="P91" t="b">
        <f t="shared" si="7"/>
        <v>1</v>
      </c>
      <c r="S91" t="b">
        <f t="shared" si="8"/>
        <v>1</v>
      </c>
      <c r="V91" t="b">
        <f t="shared" si="9"/>
        <v>0</v>
      </c>
    </row>
    <row r="92" spans="1:22" x14ac:dyDescent="0.25">
      <c r="A92" t="s">
        <v>19</v>
      </c>
      <c r="B92" t="s">
        <v>198</v>
      </c>
      <c r="C92" t="s">
        <v>1115</v>
      </c>
      <c r="D92" t="s">
        <v>1123</v>
      </c>
      <c r="E92">
        <v>46.78</v>
      </c>
      <c r="F92">
        <v>997079</v>
      </c>
      <c r="G92" t="s">
        <v>1130</v>
      </c>
      <c r="H92" t="s">
        <v>1134</v>
      </c>
      <c r="K92" t="b">
        <f t="shared" si="5"/>
        <v>1</v>
      </c>
      <c r="N92" t="b">
        <f t="shared" si="6"/>
        <v>0</v>
      </c>
      <c r="P92" t="b">
        <f t="shared" si="7"/>
        <v>1</v>
      </c>
      <c r="S92" t="b">
        <f t="shared" si="8"/>
        <v>0</v>
      </c>
      <c r="V92" t="b">
        <f t="shared" si="9"/>
        <v>1</v>
      </c>
    </row>
    <row r="93" spans="1:22" x14ac:dyDescent="0.25">
      <c r="A93" t="s">
        <v>67</v>
      </c>
      <c r="B93" t="s">
        <v>199</v>
      </c>
      <c r="C93" t="s">
        <v>1112</v>
      </c>
      <c r="D93" t="s">
        <v>1125</v>
      </c>
      <c r="E93">
        <v>86.94</v>
      </c>
      <c r="F93">
        <v>316787</v>
      </c>
      <c r="G93" t="s">
        <v>1131</v>
      </c>
      <c r="H93" t="s">
        <v>1133</v>
      </c>
      <c r="K93" t="b">
        <f t="shared" si="5"/>
        <v>1</v>
      </c>
      <c r="N93" t="b">
        <f t="shared" si="6"/>
        <v>0</v>
      </c>
      <c r="P93" t="b">
        <f t="shared" si="7"/>
        <v>1</v>
      </c>
      <c r="S93" t="b">
        <f t="shared" si="8"/>
        <v>1</v>
      </c>
      <c r="V93" t="b">
        <f t="shared" si="9"/>
        <v>0</v>
      </c>
    </row>
    <row r="94" spans="1:22" x14ac:dyDescent="0.25">
      <c r="A94" t="s">
        <v>10</v>
      </c>
      <c r="B94" t="s">
        <v>200</v>
      </c>
      <c r="C94" t="s">
        <v>1117</v>
      </c>
      <c r="D94" t="s">
        <v>1123</v>
      </c>
      <c r="E94">
        <v>37.11</v>
      </c>
      <c r="F94">
        <v>821804</v>
      </c>
      <c r="G94" t="s">
        <v>1131</v>
      </c>
      <c r="H94" t="s">
        <v>1133</v>
      </c>
      <c r="K94" t="b">
        <f t="shared" si="5"/>
        <v>1</v>
      </c>
      <c r="N94" t="b">
        <f t="shared" si="6"/>
        <v>0</v>
      </c>
      <c r="P94" t="b">
        <f t="shared" si="7"/>
        <v>1</v>
      </c>
      <c r="S94" t="b">
        <f t="shared" si="8"/>
        <v>0</v>
      </c>
      <c r="V94" t="b">
        <f t="shared" si="9"/>
        <v>1</v>
      </c>
    </row>
    <row r="95" spans="1:22" x14ac:dyDescent="0.25">
      <c r="A95" t="s">
        <v>68</v>
      </c>
      <c r="B95" t="s">
        <v>201</v>
      </c>
      <c r="C95" t="s">
        <v>1114</v>
      </c>
      <c r="D95" t="s">
        <v>1120</v>
      </c>
      <c r="E95">
        <v>58.88</v>
      </c>
      <c r="F95">
        <v>187663</v>
      </c>
      <c r="G95" t="s">
        <v>1128</v>
      </c>
      <c r="H95" t="s">
        <v>1134</v>
      </c>
      <c r="K95" t="b">
        <f t="shared" si="5"/>
        <v>1</v>
      </c>
      <c r="N95" t="b">
        <f t="shared" si="6"/>
        <v>0</v>
      </c>
      <c r="P95" t="b">
        <f t="shared" si="7"/>
        <v>1</v>
      </c>
      <c r="S95" t="b">
        <f t="shared" si="8"/>
        <v>1</v>
      </c>
      <c r="V95" t="b">
        <f t="shared" si="9"/>
        <v>0</v>
      </c>
    </row>
    <row r="96" spans="1:22" x14ac:dyDescent="0.25">
      <c r="A96" t="s">
        <v>25</v>
      </c>
      <c r="B96" t="s">
        <v>202</v>
      </c>
      <c r="C96" t="s">
        <v>1110</v>
      </c>
      <c r="D96" t="s">
        <v>1127</v>
      </c>
      <c r="E96">
        <v>44.83</v>
      </c>
      <c r="F96">
        <v>899967</v>
      </c>
      <c r="G96" t="s">
        <v>1131</v>
      </c>
      <c r="H96" t="s">
        <v>1133</v>
      </c>
      <c r="K96" t="b">
        <f t="shared" si="5"/>
        <v>1</v>
      </c>
      <c r="N96" t="b">
        <f t="shared" si="6"/>
        <v>0</v>
      </c>
      <c r="P96" t="b">
        <f t="shared" si="7"/>
        <v>1</v>
      </c>
      <c r="S96" t="b">
        <f t="shared" si="8"/>
        <v>0</v>
      </c>
      <c r="V96" t="b">
        <f t="shared" si="9"/>
        <v>1</v>
      </c>
    </row>
    <row r="97" spans="1:22" x14ac:dyDescent="0.25">
      <c r="A97" t="s">
        <v>27</v>
      </c>
      <c r="B97" t="s">
        <v>203</v>
      </c>
      <c r="C97" t="s">
        <v>1117</v>
      </c>
      <c r="D97" t="s">
        <v>1119</v>
      </c>
      <c r="E97">
        <v>76.540000000000006</v>
      </c>
      <c r="F97">
        <v>235818</v>
      </c>
      <c r="G97" t="s">
        <v>1132</v>
      </c>
      <c r="H97" t="s">
        <v>1133</v>
      </c>
      <c r="K97" t="b">
        <f t="shared" si="5"/>
        <v>1</v>
      </c>
      <c r="N97" t="b">
        <f t="shared" si="6"/>
        <v>0</v>
      </c>
      <c r="P97" t="b">
        <f t="shared" si="7"/>
        <v>1</v>
      </c>
      <c r="S97" t="b">
        <f t="shared" si="8"/>
        <v>1</v>
      </c>
      <c r="V97" t="b">
        <f t="shared" si="9"/>
        <v>0</v>
      </c>
    </row>
    <row r="98" spans="1:22" x14ac:dyDescent="0.25">
      <c r="A98" t="s">
        <v>69</v>
      </c>
      <c r="B98" t="s">
        <v>204</v>
      </c>
      <c r="C98" t="s">
        <v>1111</v>
      </c>
      <c r="D98" t="s">
        <v>1123</v>
      </c>
      <c r="E98">
        <v>73.11</v>
      </c>
      <c r="F98">
        <v>355846</v>
      </c>
      <c r="G98" t="s">
        <v>1132</v>
      </c>
      <c r="H98" t="s">
        <v>1134</v>
      </c>
      <c r="K98" t="b">
        <f t="shared" si="5"/>
        <v>1</v>
      </c>
      <c r="N98" t="b">
        <f t="shared" si="6"/>
        <v>0</v>
      </c>
      <c r="P98" t="b">
        <f t="shared" si="7"/>
        <v>1</v>
      </c>
      <c r="S98" t="b">
        <f t="shared" si="8"/>
        <v>1</v>
      </c>
      <c r="V98" t="b">
        <f t="shared" si="9"/>
        <v>0</v>
      </c>
    </row>
    <row r="99" spans="1:22" x14ac:dyDescent="0.25">
      <c r="A99" t="s">
        <v>47</v>
      </c>
      <c r="B99" t="s">
        <v>205</v>
      </c>
      <c r="C99" t="s">
        <v>1110</v>
      </c>
      <c r="D99" t="s">
        <v>1125</v>
      </c>
      <c r="E99">
        <v>35.58</v>
      </c>
      <c r="F99">
        <v>681445</v>
      </c>
      <c r="G99" t="s">
        <v>1130</v>
      </c>
      <c r="H99" t="s">
        <v>1134</v>
      </c>
      <c r="K99" t="b">
        <f t="shared" si="5"/>
        <v>0</v>
      </c>
      <c r="N99" t="b">
        <f t="shared" si="6"/>
        <v>0</v>
      </c>
      <c r="P99" t="b">
        <f t="shared" si="7"/>
        <v>1</v>
      </c>
      <c r="S99" t="b">
        <f t="shared" si="8"/>
        <v>0</v>
      </c>
      <c r="V99" t="b">
        <f t="shared" si="9"/>
        <v>1</v>
      </c>
    </row>
    <row r="100" spans="1:22" x14ac:dyDescent="0.25">
      <c r="A100" t="s">
        <v>58</v>
      </c>
      <c r="B100" t="s">
        <v>206</v>
      </c>
      <c r="C100" t="s">
        <v>1117</v>
      </c>
      <c r="D100" t="s">
        <v>1119</v>
      </c>
      <c r="E100">
        <v>40.06</v>
      </c>
      <c r="F100">
        <v>555584</v>
      </c>
      <c r="G100" t="s">
        <v>1130</v>
      </c>
      <c r="H100" t="s">
        <v>1133</v>
      </c>
      <c r="K100" t="b">
        <f t="shared" si="5"/>
        <v>1</v>
      </c>
      <c r="N100" t="b">
        <f t="shared" si="6"/>
        <v>0</v>
      </c>
      <c r="P100" t="b">
        <f t="shared" si="7"/>
        <v>1</v>
      </c>
      <c r="S100" t="b">
        <f t="shared" si="8"/>
        <v>1</v>
      </c>
      <c r="V100" t="b">
        <f t="shared" si="9"/>
        <v>0</v>
      </c>
    </row>
    <row r="101" spans="1:22" x14ac:dyDescent="0.25">
      <c r="A101" t="s">
        <v>68</v>
      </c>
      <c r="B101" t="s">
        <v>207</v>
      </c>
      <c r="C101" t="s">
        <v>1116</v>
      </c>
      <c r="D101" t="s">
        <v>1119</v>
      </c>
      <c r="E101">
        <v>39.06</v>
      </c>
      <c r="F101">
        <v>858447</v>
      </c>
      <c r="G101" t="s">
        <v>1132</v>
      </c>
      <c r="H101" t="s">
        <v>1134</v>
      </c>
      <c r="K101" t="b">
        <f t="shared" si="5"/>
        <v>1</v>
      </c>
      <c r="N101" t="b">
        <f t="shared" si="6"/>
        <v>0</v>
      </c>
      <c r="P101" t="b">
        <f t="shared" si="7"/>
        <v>1</v>
      </c>
      <c r="S101" t="b">
        <f t="shared" si="8"/>
        <v>0</v>
      </c>
      <c r="V101" t="b">
        <f t="shared" si="9"/>
        <v>1</v>
      </c>
    </row>
    <row r="102" spans="1:22" x14ac:dyDescent="0.25">
      <c r="A102" t="s">
        <v>70</v>
      </c>
      <c r="B102" t="s">
        <v>208</v>
      </c>
      <c r="C102" t="s">
        <v>1113</v>
      </c>
      <c r="D102" t="s">
        <v>1118</v>
      </c>
      <c r="E102">
        <v>70.59</v>
      </c>
      <c r="F102">
        <v>345053</v>
      </c>
      <c r="G102" t="s">
        <v>1130</v>
      </c>
      <c r="H102" t="s">
        <v>1134</v>
      </c>
      <c r="K102" t="b">
        <f t="shared" si="5"/>
        <v>0</v>
      </c>
      <c r="N102" t="b">
        <f t="shared" si="6"/>
        <v>0</v>
      </c>
      <c r="P102" t="b">
        <f t="shared" si="7"/>
        <v>1</v>
      </c>
      <c r="S102" t="b">
        <f t="shared" si="8"/>
        <v>1</v>
      </c>
      <c r="V102" t="b">
        <f t="shared" si="9"/>
        <v>0</v>
      </c>
    </row>
    <row r="103" spans="1:22" x14ac:dyDescent="0.25">
      <c r="A103" t="s">
        <v>71</v>
      </c>
      <c r="B103" t="s">
        <v>209</v>
      </c>
      <c r="C103" t="s">
        <v>1109</v>
      </c>
      <c r="D103" t="s">
        <v>1125</v>
      </c>
      <c r="E103">
        <v>66.59</v>
      </c>
      <c r="F103">
        <v>556119</v>
      </c>
      <c r="G103" t="s">
        <v>1131</v>
      </c>
      <c r="H103" t="s">
        <v>1133</v>
      </c>
      <c r="K103" t="b">
        <f t="shared" si="5"/>
        <v>1</v>
      </c>
      <c r="N103" t="b">
        <f t="shared" si="6"/>
        <v>0</v>
      </c>
      <c r="P103" t="b">
        <f t="shared" si="7"/>
        <v>1</v>
      </c>
      <c r="S103" t="b">
        <f t="shared" si="8"/>
        <v>0</v>
      </c>
      <c r="V103" t="b">
        <f t="shared" si="9"/>
        <v>1</v>
      </c>
    </row>
    <row r="104" spans="1:22" x14ac:dyDescent="0.25">
      <c r="A104" t="s">
        <v>67</v>
      </c>
      <c r="B104" t="s">
        <v>210</v>
      </c>
      <c r="C104" t="s">
        <v>1112</v>
      </c>
      <c r="D104" t="s">
        <v>1124</v>
      </c>
      <c r="E104">
        <v>42.47</v>
      </c>
      <c r="F104">
        <v>862916</v>
      </c>
      <c r="G104" t="s">
        <v>1129</v>
      </c>
      <c r="H104" t="s">
        <v>1133</v>
      </c>
      <c r="K104" t="b">
        <f t="shared" si="5"/>
        <v>1</v>
      </c>
      <c r="N104" t="b">
        <f t="shared" si="6"/>
        <v>0</v>
      </c>
      <c r="P104" t="b">
        <f t="shared" si="7"/>
        <v>1</v>
      </c>
      <c r="S104" t="b">
        <f t="shared" si="8"/>
        <v>1</v>
      </c>
      <c r="V104" t="b">
        <f t="shared" si="9"/>
        <v>0</v>
      </c>
    </row>
    <row r="105" spans="1:22" x14ac:dyDescent="0.25">
      <c r="A105" t="s">
        <v>59</v>
      </c>
      <c r="B105" t="s">
        <v>211</v>
      </c>
      <c r="C105" t="s">
        <v>1109</v>
      </c>
      <c r="D105" t="s">
        <v>1123</v>
      </c>
      <c r="E105">
        <v>73.099999999999994</v>
      </c>
      <c r="F105">
        <v>674978</v>
      </c>
      <c r="G105" t="s">
        <v>1131</v>
      </c>
      <c r="H105" t="s">
        <v>1133</v>
      </c>
      <c r="K105" t="b">
        <f t="shared" si="5"/>
        <v>0</v>
      </c>
      <c r="N105" t="b">
        <f t="shared" si="6"/>
        <v>0</v>
      </c>
      <c r="P105" t="b">
        <f t="shared" si="7"/>
        <v>1</v>
      </c>
      <c r="S105" t="b">
        <f t="shared" si="8"/>
        <v>0</v>
      </c>
      <c r="V105" t="b">
        <f t="shared" si="9"/>
        <v>1</v>
      </c>
    </row>
    <row r="106" spans="1:22" x14ac:dyDescent="0.25">
      <c r="A106" t="s">
        <v>50</v>
      </c>
      <c r="B106" t="s">
        <v>212</v>
      </c>
      <c r="C106" t="s">
        <v>1115</v>
      </c>
      <c r="D106" t="s">
        <v>1122</v>
      </c>
      <c r="E106">
        <v>65.7</v>
      </c>
      <c r="F106">
        <v>585823</v>
      </c>
      <c r="G106" t="s">
        <v>1130</v>
      </c>
      <c r="H106" t="s">
        <v>1133</v>
      </c>
      <c r="K106" t="b">
        <f t="shared" si="5"/>
        <v>0</v>
      </c>
      <c r="N106" t="b">
        <f t="shared" si="6"/>
        <v>0</v>
      </c>
      <c r="P106" t="b">
        <f t="shared" si="7"/>
        <v>1</v>
      </c>
      <c r="S106" t="b">
        <f t="shared" si="8"/>
        <v>0</v>
      </c>
      <c r="V106" t="b">
        <f t="shared" si="9"/>
        <v>1</v>
      </c>
    </row>
    <row r="107" spans="1:22" x14ac:dyDescent="0.25">
      <c r="A107" t="s">
        <v>20</v>
      </c>
      <c r="B107" t="s">
        <v>213</v>
      </c>
      <c r="C107" t="s">
        <v>1117</v>
      </c>
      <c r="D107" t="s">
        <v>1126</v>
      </c>
      <c r="E107">
        <v>63.53</v>
      </c>
      <c r="F107">
        <v>405299</v>
      </c>
      <c r="G107" t="s">
        <v>1128</v>
      </c>
      <c r="H107" t="s">
        <v>1133</v>
      </c>
      <c r="K107" t="b">
        <f t="shared" si="5"/>
        <v>1</v>
      </c>
      <c r="N107" t="b">
        <f t="shared" si="6"/>
        <v>0</v>
      </c>
      <c r="P107" t="b">
        <f t="shared" si="7"/>
        <v>1</v>
      </c>
      <c r="S107" t="b">
        <f t="shared" si="8"/>
        <v>1</v>
      </c>
      <c r="V107" t="b">
        <f t="shared" si="9"/>
        <v>0</v>
      </c>
    </row>
    <row r="108" spans="1:22" x14ac:dyDescent="0.25">
      <c r="A108" t="s">
        <v>8</v>
      </c>
      <c r="B108" t="s">
        <v>214</v>
      </c>
      <c r="C108" t="s">
        <v>1116</v>
      </c>
      <c r="D108" t="s">
        <v>1121</v>
      </c>
      <c r="E108">
        <v>61.82</v>
      </c>
      <c r="F108">
        <v>192950</v>
      </c>
      <c r="G108" t="s">
        <v>1128</v>
      </c>
      <c r="H108" t="s">
        <v>1134</v>
      </c>
      <c r="K108" t="b">
        <f t="shared" si="5"/>
        <v>0</v>
      </c>
      <c r="N108" t="b">
        <f t="shared" si="6"/>
        <v>0</v>
      </c>
      <c r="P108" t="b">
        <f t="shared" si="7"/>
        <v>1</v>
      </c>
      <c r="S108" t="b">
        <f t="shared" si="8"/>
        <v>0</v>
      </c>
      <c r="V108" t="b">
        <f t="shared" si="9"/>
        <v>1</v>
      </c>
    </row>
    <row r="109" spans="1:22" x14ac:dyDescent="0.25">
      <c r="A109" t="s">
        <v>32</v>
      </c>
      <c r="B109" t="s">
        <v>215</v>
      </c>
      <c r="C109" t="s">
        <v>1113</v>
      </c>
      <c r="D109" t="s">
        <v>1122</v>
      </c>
      <c r="E109">
        <v>39.81</v>
      </c>
      <c r="F109">
        <v>775482</v>
      </c>
      <c r="G109" t="s">
        <v>1129</v>
      </c>
      <c r="H109" t="s">
        <v>1133</v>
      </c>
      <c r="K109" t="b">
        <f t="shared" si="5"/>
        <v>0</v>
      </c>
      <c r="N109" t="b">
        <f t="shared" si="6"/>
        <v>0</v>
      </c>
      <c r="P109" t="b">
        <f t="shared" si="7"/>
        <v>1</v>
      </c>
      <c r="S109" t="b">
        <f t="shared" si="8"/>
        <v>1</v>
      </c>
      <c r="V109" t="b">
        <f t="shared" si="9"/>
        <v>0</v>
      </c>
    </row>
    <row r="110" spans="1:22" x14ac:dyDescent="0.25">
      <c r="A110" t="s">
        <v>72</v>
      </c>
      <c r="B110" t="s">
        <v>216</v>
      </c>
      <c r="C110" t="s">
        <v>1108</v>
      </c>
      <c r="D110" t="s">
        <v>1122</v>
      </c>
      <c r="E110">
        <v>75.03</v>
      </c>
      <c r="F110">
        <v>292138</v>
      </c>
      <c r="G110" t="s">
        <v>1130</v>
      </c>
      <c r="H110" t="s">
        <v>1134</v>
      </c>
      <c r="K110" t="b">
        <f t="shared" si="5"/>
        <v>1</v>
      </c>
      <c r="N110" t="b">
        <f t="shared" si="6"/>
        <v>0</v>
      </c>
      <c r="P110" t="b">
        <f t="shared" si="7"/>
        <v>1</v>
      </c>
      <c r="S110" t="b">
        <f t="shared" si="8"/>
        <v>0</v>
      </c>
      <c r="V110" t="b">
        <f t="shared" si="9"/>
        <v>1</v>
      </c>
    </row>
    <row r="111" spans="1:22" x14ac:dyDescent="0.25">
      <c r="A111" t="s">
        <v>31</v>
      </c>
      <c r="B111" t="s">
        <v>217</v>
      </c>
      <c r="C111" t="s">
        <v>1109</v>
      </c>
      <c r="D111" t="s">
        <v>1121</v>
      </c>
      <c r="E111">
        <v>77.98</v>
      </c>
      <c r="F111">
        <v>232735</v>
      </c>
      <c r="G111" t="s">
        <v>1130</v>
      </c>
      <c r="H111" t="s">
        <v>1133</v>
      </c>
      <c r="K111" t="b">
        <f t="shared" si="5"/>
        <v>1</v>
      </c>
      <c r="N111" t="b">
        <f t="shared" si="6"/>
        <v>0</v>
      </c>
      <c r="P111" t="b">
        <f t="shared" si="7"/>
        <v>1</v>
      </c>
      <c r="V111" t="b">
        <f t="shared" si="9"/>
        <v>1</v>
      </c>
    </row>
    <row r="112" spans="1:22" x14ac:dyDescent="0.25">
      <c r="A112" t="s">
        <v>36</v>
      </c>
      <c r="B112" t="s">
        <v>218</v>
      </c>
      <c r="C112" t="s">
        <v>1117</v>
      </c>
      <c r="D112" t="s">
        <v>1127</v>
      </c>
      <c r="E112">
        <v>95.81</v>
      </c>
      <c r="F112">
        <v>624076</v>
      </c>
      <c r="G112" t="s">
        <v>1129</v>
      </c>
      <c r="H112" t="s">
        <v>1133</v>
      </c>
    </row>
    <row r="113" spans="1:8" x14ac:dyDescent="0.25">
      <c r="A113" t="s">
        <v>25</v>
      </c>
      <c r="B113" t="s">
        <v>219</v>
      </c>
      <c r="C113" t="s">
        <v>1108</v>
      </c>
      <c r="D113" t="s">
        <v>1121</v>
      </c>
      <c r="E113">
        <v>48.85</v>
      </c>
      <c r="F113">
        <v>720171</v>
      </c>
      <c r="G113" t="s">
        <v>1129</v>
      </c>
      <c r="H113" t="s">
        <v>1133</v>
      </c>
    </row>
    <row r="114" spans="1:8" x14ac:dyDescent="0.25">
      <c r="A114" t="s">
        <v>17</v>
      </c>
      <c r="B114" t="s">
        <v>220</v>
      </c>
      <c r="C114" t="s">
        <v>1115</v>
      </c>
      <c r="D114" t="s">
        <v>1120</v>
      </c>
      <c r="E114">
        <v>38.96</v>
      </c>
      <c r="F114">
        <v>527494</v>
      </c>
      <c r="G114" t="s">
        <v>1132</v>
      </c>
      <c r="H114" t="s">
        <v>1133</v>
      </c>
    </row>
    <row r="115" spans="1:8" x14ac:dyDescent="0.25">
      <c r="A115" t="s">
        <v>73</v>
      </c>
      <c r="B115" t="s">
        <v>221</v>
      </c>
      <c r="C115" t="s">
        <v>1113</v>
      </c>
      <c r="D115" t="s">
        <v>1121</v>
      </c>
      <c r="E115">
        <v>63.6</v>
      </c>
      <c r="F115">
        <v>707521</v>
      </c>
      <c r="G115" t="s">
        <v>1132</v>
      </c>
      <c r="H115" t="s">
        <v>1134</v>
      </c>
    </row>
    <row r="116" spans="1:8" x14ac:dyDescent="0.25">
      <c r="A116" t="s">
        <v>55</v>
      </c>
      <c r="B116" t="s">
        <v>222</v>
      </c>
      <c r="C116" t="s">
        <v>1109</v>
      </c>
      <c r="D116" t="s">
        <v>1126</v>
      </c>
      <c r="E116">
        <v>62.95</v>
      </c>
      <c r="F116">
        <v>784159</v>
      </c>
      <c r="G116" t="s">
        <v>1128</v>
      </c>
      <c r="H116" t="s">
        <v>1133</v>
      </c>
    </row>
    <row r="117" spans="1:8" x14ac:dyDescent="0.25">
      <c r="A117" t="s">
        <v>21</v>
      </c>
      <c r="B117" t="s">
        <v>223</v>
      </c>
      <c r="C117" t="s">
        <v>1111</v>
      </c>
      <c r="D117" t="s">
        <v>1118</v>
      </c>
      <c r="E117">
        <v>76.989999999999995</v>
      </c>
      <c r="F117">
        <v>370674</v>
      </c>
      <c r="G117" t="s">
        <v>1129</v>
      </c>
      <c r="H117" t="s">
        <v>1133</v>
      </c>
    </row>
    <row r="118" spans="1:8" x14ac:dyDescent="0.25">
      <c r="A118" t="s">
        <v>51</v>
      </c>
      <c r="B118" t="s">
        <v>224</v>
      </c>
      <c r="C118" t="s">
        <v>1111</v>
      </c>
      <c r="D118" t="s">
        <v>1122</v>
      </c>
      <c r="E118">
        <v>91.65</v>
      </c>
      <c r="F118">
        <v>693851</v>
      </c>
      <c r="G118" t="s">
        <v>1128</v>
      </c>
      <c r="H118" t="s">
        <v>1133</v>
      </c>
    </row>
    <row r="119" spans="1:8" x14ac:dyDescent="0.25">
      <c r="A119" t="s">
        <v>66</v>
      </c>
      <c r="B119" t="s">
        <v>225</v>
      </c>
      <c r="C119" t="s">
        <v>1108</v>
      </c>
      <c r="D119" t="s">
        <v>1126</v>
      </c>
      <c r="E119">
        <v>75.72</v>
      </c>
      <c r="F119">
        <v>989706</v>
      </c>
      <c r="G119" t="s">
        <v>1129</v>
      </c>
      <c r="H119" t="s">
        <v>1134</v>
      </c>
    </row>
    <row r="120" spans="1:8" x14ac:dyDescent="0.25">
      <c r="A120" t="s">
        <v>32</v>
      </c>
      <c r="B120" t="s">
        <v>226</v>
      </c>
      <c r="C120" t="s">
        <v>1116</v>
      </c>
      <c r="D120" t="s">
        <v>1119</v>
      </c>
      <c r="E120">
        <v>39.86</v>
      </c>
      <c r="F120">
        <v>800854</v>
      </c>
      <c r="G120" t="s">
        <v>1132</v>
      </c>
      <c r="H120" t="s">
        <v>1134</v>
      </c>
    </row>
    <row r="121" spans="1:8" x14ac:dyDescent="0.25">
      <c r="A121" t="s">
        <v>74</v>
      </c>
      <c r="B121" t="s">
        <v>227</v>
      </c>
      <c r="C121" t="s">
        <v>1114</v>
      </c>
      <c r="D121" t="s">
        <v>1122</v>
      </c>
      <c r="E121">
        <v>87.22</v>
      </c>
      <c r="F121">
        <v>479638</v>
      </c>
      <c r="G121" t="s">
        <v>1128</v>
      </c>
      <c r="H121" t="s">
        <v>1133</v>
      </c>
    </row>
    <row r="122" spans="1:8" x14ac:dyDescent="0.25">
      <c r="A122" t="s">
        <v>45</v>
      </c>
      <c r="B122" t="s">
        <v>228</v>
      </c>
      <c r="C122" t="s">
        <v>1108</v>
      </c>
      <c r="D122" t="s">
        <v>1122</v>
      </c>
      <c r="E122">
        <v>78.540000000000006</v>
      </c>
      <c r="F122">
        <v>608362</v>
      </c>
      <c r="G122" t="s">
        <v>1132</v>
      </c>
      <c r="H122" t="s">
        <v>1134</v>
      </c>
    </row>
    <row r="123" spans="1:8" x14ac:dyDescent="0.25">
      <c r="A123" t="s">
        <v>52</v>
      </c>
      <c r="B123" t="s">
        <v>229</v>
      </c>
      <c r="C123" t="s">
        <v>1116</v>
      </c>
      <c r="D123" t="s">
        <v>1119</v>
      </c>
      <c r="E123">
        <v>43.57</v>
      </c>
      <c r="F123">
        <v>902802</v>
      </c>
      <c r="G123" t="s">
        <v>1131</v>
      </c>
      <c r="H123" t="s">
        <v>1133</v>
      </c>
    </row>
    <row r="124" spans="1:8" x14ac:dyDescent="0.25">
      <c r="A124" t="s">
        <v>8</v>
      </c>
      <c r="B124" t="s">
        <v>230</v>
      </c>
      <c r="C124" t="s">
        <v>1114</v>
      </c>
      <c r="D124" t="s">
        <v>1121</v>
      </c>
      <c r="E124">
        <v>87.9</v>
      </c>
      <c r="F124">
        <v>485754</v>
      </c>
      <c r="G124" t="s">
        <v>1128</v>
      </c>
      <c r="H124" t="s">
        <v>1133</v>
      </c>
    </row>
    <row r="125" spans="1:8" x14ac:dyDescent="0.25">
      <c r="A125" t="s">
        <v>59</v>
      </c>
      <c r="B125" t="s">
        <v>231</v>
      </c>
      <c r="C125" t="s">
        <v>1110</v>
      </c>
      <c r="D125" t="s">
        <v>1122</v>
      </c>
      <c r="E125">
        <v>57.21</v>
      </c>
      <c r="F125">
        <v>105963</v>
      </c>
      <c r="G125" t="s">
        <v>1129</v>
      </c>
      <c r="H125" t="s">
        <v>1133</v>
      </c>
    </row>
    <row r="126" spans="1:8" x14ac:dyDescent="0.25">
      <c r="A126" t="s">
        <v>70</v>
      </c>
      <c r="B126" t="s">
        <v>232</v>
      </c>
      <c r="C126" t="s">
        <v>1113</v>
      </c>
      <c r="D126" t="s">
        <v>1119</v>
      </c>
      <c r="E126">
        <v>44.59</v>
      </c>
      <c r="F126">
        <v>326598</v>
      </c>
      <c r="G126" t="s">
        <v>1130</v>
      </c>
      <c r="H126" t="s">
        <v>1133</v>
      </c>
    </row>
    <row r="127" spans="1:8" x14ac:dyDescent="0.25">
      <c r="A127" t="s">
        <v>75</v>
      </c>
      <c r="B127" t="s">
        <v>233</v>
      </c>
      <c r="C127" t="s">
        <v>1116</v>
      </c>
      <c r="D127" t="s">
        <v>1127</v>
      </c>
      <c r="E127">
        <v>95.67</v>
      </c>
      <c r="F127">
        <v>986117</v>
      </c>
      <c r="G127" t="s">
        <v>1128</v>
      </c>
      <c r="H127" t="s">
        <v>1133</v>
      </c>
    </row>
    <row r="128" spans="1:8" x14ac:dyDescent="0.25">
      <c r="A128" t="s">
        <v>41</v>
      </c>
      <c r="B128" t="s">
        <v>234</v>
      </c>
      <c r="C128" t="s">
        <v>1115</v>
      </c>
      <c r="D128" t="s">
        <v>1118</v>
      </c>
      <c r="E128">
        <v>59.1</v>
      </c>
      <c r="F128">
        <v>876507</v>
      </c>
      <c r="G128" t="s">
        <v>1128</v>
      </c>
      <c r="H128" t="s">
        <v>1134</v>
      </c>
    </row>
    <row r="129" spans="1:8" x14ac:dyDescent="0.25">
      <c r="A129" t="s">
        <v>72</v>
      </c>
      <c r="B129" t="s">
        <v>235</v>
      </c>
      <c r="C129" t="s">
        <v>1114</v>
      </c>
      <c r="D129" t="s">
        <v>1119</v>
      </c>
      <c r="E129">
        <v>39.82</v>
      </c>
      <c r="F129">
        <v>854039</v>
      </c>
      <c r="G129" t="s">
        <v>1132</v>
      </c>
      <c r="H129" t="s">
        <v>1133</v>
      </c>
    </row>
    <row r="130" spans="1:8" x14ac:dyDescent="0.25">
      <c r="A130" t="s">
        <v>70</v>
      </c>
      <c r="B130" t="s">
        <v>236</v>
      </c>
      <c r="C130" t="s">
        <v>1112</v>
      </c>
      <c r="D130" t="s">
        <v>1120</v>
      </c>
      <c r="E130">
        <v>42.86</v>
      </c>
      <c r="F130">
        <v>726931</v>
      </c>
      <c r="G130" t="s">
        <v>1131</v>
      </c>
      <c r="H130" t="s">
        <v>1133</v>
      </c>
    </row>
    <row r="131" spans="1:8" x14ac:dyDescent="0.25">
      <c r="A131" t="s">
        <v>19</v>
      </c>
      <c r="B131" t="s">
        <v>237</v>
      </c>
      <c r="C131" t="s">
        <v>1108</v>
      </c>
      <c r="D131" t="s">
        <v>1120</v>
      </c>
      <c r="E131">
        <v>76.010000000000005</v>
      </c>
      <c r="F131">
        <v>946358</v>
      </c>
      <c r="G131" t="s">
        <v>1129</v>
      </c>
      <c r="H131" t="s">
        <v>1133</v>
      </c>
    </row>
    <row r="132" spans="1:8" x14ac:dyDescent="0.25">
      <c r="A132" t="s">
        <v>41</v>
      </c>
      <c r="B132" t="s">
        <v>238</v>
      </c>
      <c r="C132" t="s">
        <v>1113</v>
      </c>
      <c r="D132" t="s">
        <v>1118</v>
      </c>
      <c r="E132">
        <v>35.85</v>
      </c>
      <c r="F132">
        <v>534455</v>
      </c>
      <c r="G132" t="s">
        <v>1129</v>
      </c>
      <c r="H132" t="s">
        <v>1133</v>
      </c>
    </row>
    <row r="133" spans="1:8" x14ac:dyDescent="0.25">
      <c r="A133" t="s">
        <v>76</v>
      </c>
      <c r="B133" t="s">
        <v>239</v>
      </c>
      <c r="C133" t="s">
        <v>1116</v>
      </c>
      <c r="D133" t="s">
        <v>1124</v>
      </c>
      <c r="E133">
        <v>84.15</v>
      </c>
      <c r="F133">
        <v>805424</v>
      </c>
      <c r="G133" t="s">
        <v>1132</v>
      </c>
      <c r="H133" t="s">
        <v>1133</v>
      </c>
    </row>
    <row r="134" spans="1:8" x14ac:dyDescent="0.25">
      <c r="A134" t="s">
        <v>56</v>
      </c>
      <c r="B134" t="s">
        <v>240</v>
      </c>
      <c r="C134" t="s">
        <v>1116</v>
      </c>
      <c r="D134" t="s">
        <v>1123</v>
      </c>
      <c r="E134">
        <v>85.88</v>
      </c>
      <c r="F134">
        <v>695604</v>
      </c>
      <c r="G134" t="s">
        <v>1129</v>
      </c>
      <c r="H134" t="s">
        <v>1133</v>
      </c>
    </row>
    <row r="135" spans="1:8" x14ac:dyDescent="0.25">
      <c r="A135" t="s">
        <v>77</v>
      </c>
      <c r="B135" t="s">
        <v>241</v>
      </c>
      <c r="C135" t="s">
        <v>1117</v>
      </c>
      <c r="D135" t="s">
        <v>1122</v>
      </c>
      <c r="E135">
        <v>49.01</v>
      </c>
      <c r="F135">
        <v>798294</v>
      </c>
      <c r="G135" t="s">
        <v>1132</v>
      </c>
      <c r="H135" t="s">
        <v>1133</v>
      </c>
    </row>
    <row r="136" spans="1:8" x14ac:dyDescent="0.25">
      <c r="A136" t="s">
        <v>12</v>
      </c>
      <c r="B136" t="s">
        <v>242</v>
      </c>
      <c r="C136" t="s">
        <v>1110</v>
      </c>
      <c r="D136" t="s">
        <v>1127</v>
      </c>
      <c r="E136">
        <v>53.58</v>
      </c>
      <c r="F136">
        <v>585367</v>
      </c>
      <c r="G136" t="s">
        <v>1132</v>
      </c>
      <c r="H136" t="s">
        <v>1133</v>
      </c>
    </row>
    <row r="137" spans="1:8" x14ac:dyDescent="0.25">
      <c r="A137" t="s">
        <v>13</v>
      </c>
      <c r="B137" t="s">
        <v>243</v>
      </c>
      <c r="C137" t="s">
        <v>1109</v>
      </c>
      <c r="D137" t="s">
        <v>1121</v>
      </c>
      <c r="E137">
        <v>77.59</v>
      </c>
      <c r="F137">
        <v>591421</v>
      </c>
      <c r="G137" t="s">
        <v>1131</v>
      </c>
      <c r="H137" t="s">
        <v>1133</v>
      </c>
    </row>
    <row r="138" spans="1:8" x14ac:dyDescent="0.25">
      <c r="A138" t="s">
        <v>45</v>
      </c>
      <c r="B138" t="s">
        <v>244</v>
      </c>
      <c r="C138" t="s">
        <v>1111</v>
      </c>
      <c r="D138" t="s">
        <v>1120</v>
      </c>
      <c r="E138">
        <v>78.67</v>
      </c>
      <c r="F138">
        <v>871578</v>
      </c>
      <c r="G138" t="s">
        <v>1128</v>
      </c>
      <c r="H138" t="s">
        <v>1133</v>
      </c>
    </row>
    <row r="139" spans="1:8" x14ac:dyDescent="0.25">
      <c r="A139" t="s">
        <v>17</v>
      </c>
      <c r="B139" t="s">
        <v>245</v>
      </c>
      <c r="C139" t="s">
        <v>1115</v>
      </c>
      <c r="D139" t="s">
        <v>1126</v>
      </c>
      <c r="E139">
        <v>71.7</v>
      </c>
      <c r="F139">
        <v>280498</v>
      </c>
      <c r="G139" t="s">
        <v>1129</v>
      </c>
      <c r="H139" t="s">
        <v>1133</v>
      </c>
    </row>
    <row r="140" spans="1:8" x14ac:dyDescent="0.25">
      <c r="A140" t="s">
        <v>78</v>
      </c>
      <c r="B140" t="s">
        <v>246</v>
      </c>
      <c r="C140" t="s">
        <v>1111</v>
      </c>
      <c r="D140" t="s">
        <v>1123</v>
      </c>
      <c r="E140">
        <v>56.95</v>
      </c>
      <c r="F140">
        <v>785885</v>
      </c>
      <c r="G140" t="s">
        <v>1129</v>
      </c>
      <c r="H140" t="s">
        <v>1133</v>
      </c>
    </row>
    <row r="141" spans="1:8" x14ac:dyDescent="0.25">
      <c r="A141" t="s">
        <v>70</v>
      </c>
      <c r="B141" t="s">
        <v>247</v>
      </c>
      <c r="C141" t="s">
        <v>1115</v>
      </c>
      <c r="D141" t="s">
        <v>1123</v>
      </c>
      <c r="E141">
        <v>70.12</v>
      </c>
      <c r="F141">
        <v>518876</v>
      </c>
      <c r="G141" t="s">
        <v>1130</v>
      </c>
      <c r="H141" t="s">
        <v>1134</v>
      </c>
    </row>
    <row r="142" spans="1:8" x14ac:dyDescent="0.25">
      <c r="A142" t="s">
        <v>20</v>
      </c>
      <c r="B142" t="s">
        <v>248</v>
      </c>
      <c r="C142" t="s">
        <v>1116</v>
      </c>
      <c r="D142" t="s">
        <v>1123</v>
      </c>
      <c r="E142">
        <v>90.01</v>
      </c>
      <c r="F142">
        <v>175857</v>
      </c>
      <c r="G142" t="s">
        <v>1130</v>
      </c>
      <c r="H142" t="s">
        <v>1134</v>
      </c>
    </row>
    <row r="143" spans="1:8" x14ac:dyDescent="0.25">
      <c r="A143" t="s">
        <v>18</v>
      </c>
      <c r="B143" t="s">
        <v>249</v>
      </c>
      <c r="C143" t="s">
        <v>1113</v>
      </c>
      <c r="D143" t="s">
        <v>1124</v>
      </c>
      <c r="E143">
        <v>45.08</v>
      </c>
      <c r="F143">
        <v>263571</v>
      </c>
      <c r="G143" t="s">
        <v>1131</v>
      </c>
      <c r="H143" t="s">
        <v>1133</v>
      </c>
    </row>
    <row r="144" spans="1:8" x14ac:dyDescent="0.25">
      <c r="A144" t="s">
        <v>50</v>
      </c>
      <c r="B144" t="s">
        <v>250</v>
      </c>
      <c r="C144" t="s">
        <v>1108</v>
      </c>
      <c r="D144" t="s">
        <v>1120</v>
      </c>
      <c r="E144">
        <v>40.270000000000003</v>
      </c>
      <c r="F144">
        <v>892411</v>
      </c>
      <c r="G144" t="s">
        <v>1131</v>
      </c>
      <c r="H144" t="s">
        <v>1133</v>
      </c>
    </row>
    <row r="145" spans="1:8" x14ac:dyDescent="0.25">
      <c r="A145" t="s">
        <v>79</v>
      </c>
      <c r="B145" t="s">
        <v>251</v>
      </c>
      <c r="C145" t="s">
        <v>1116</v>
      </c>
      <c r="D145" t="s">
        <v>1127</v>
      </c>
      <c r="E145">
        <v>60.45</v>
      </c>
      <c r="F145">
        <v>629390</v>
      </c>
      <c r="G145" t="s">
        <v>1131</v>
      </c>
      <c r="H145" t="s">
        <v>1133</v>
      </c>
    </row>
    <row r="146" spans="1:8" x14ac:dyDescent="0.25">
      <c r="A146" t="s">
        <v>31</v>
      </c>
      <c r="B146" t="s">
        <v>252</v>
      </c>
      <c r="C146" t="s">
        <v>1110</v>
      </c>
      <c r="D146" t="s">
        <v>1120</v>
      </c>
      <c r="E146">
        <v>79.239999999999995</v>
      </c>
      <c r="F146">
        <v>875918</v>
      </c>
      <c r="G146" t="s">
        <v>1130</v>
      </c>
      <c r="H146" t="s">
        <v>1133</v>
      </c>
    </row>
    <row r="147" spans="1:8" x14ac:dyDescent="0.25">
      <c r="A147" t="s">
        <v>80</v>
      </c>
      <c r="B147" t="s">
        <v>253</v>
      </c>
      <c r="C147" t="s">
        <v>1114</v>
      </c>
      <c r="D147" t="s">
        <v>1118</v>
      </c>
      <c r="E147">
        <v>70.53</v>
      </c>
      <c r="F147">
        <v>391324</v>
      </c>
      <c r="G147" t="s">
        <v>1130</v>
      </c>
      <c r="H147" t="s">
        <v>1134</v>
      </c>
    </row>
    <row r="148" spans="1:8" x14ac:dyDescent="0.25">
      <c r="A148" t="s">
        <v>14</v>
      </c>
      <c r="B148" t="s">
        <v>254</v>
      </c>
      <c r="C148" t="s">
        <v>1117</v>
      </c>
      <c r="D148" t="s">
        <v>1121</v>
      </c>
      <c r="E148">
        <v>70.2</v>
      </c>
      <c r="F148">
        <v>905213</v>
      </c>
      <c r="G148" t="s">
        <v>1130</v>
      </c>
      <c r="H148" t="s">
        <v>1134</v>
      </c>
    </row>
    <row r="149" spans="1:8" x14ac:dyDescent="0.25">
      <c r="A149" t="s">
        <v>58</v>
      </c>
      <c r="B149" t="s">
        <v>255</v>
      </c>
      <c r="C149" t="s">
        <v>1112</v>
      </c>
      <c r="D149" t="s">
        <v>1124</v>
      </c>
      <c r="E149">
        <v>37.25</v>
      </c>
      <c r="F149">
        <v>353808</v>
      </c>
      <c r="G149" t="s">
        <v>1132</v>
      </c>
      <c r="H149" t="s">
        <v>1133</v>
      </c>
    </row>
    <row r="150" spans="1:8" x14ac:dyDescent="0.25">
      <c r="A150" t="s">
        <v>81</v>
      </c>
      <c r="B150" t="s">
        <v>256</v>
      </c>
      <c r="C150" t="s">
        <v>1112</v>
      </c>
      <c r="D150" t="s">
        <v>1123</v>
      </c>
      <c r="E150">
        <v>58.77</v>
      </c>
      <c r="F150">
        <v>501500</v>
      </c>
      <c r="G150" t="s">
        <v>1132</v>
      </c>
      <c r="H150" t="s">
        <v>1133</v>
      </c>
    </row>
    <row r="151" spans="1:8" x14ac:dyDescent="0.25">
      <c r="A151" t="s">
        <v>47</v>
      </c>
      <c r="B151" t="s">
        <v>257</v>
      </c>
      <c r="C151" t="s">
        <v>1116</v>
      </c>
      <c r="D151" t="s">
        <v>1123</v>
      </c>
      <c r="E151">
        <v>37.729999999999997</v>
      </c>
      <c r="F151">
        <v>841281</v>
      </c>
      <c r="G151" t="s">
        <v>1128</v>
      </c>
      <c r="H151" t="s">
        <v>1133</v>
      </c>
    </row>
    <row r="152" spans="1:8" x14ac:dyDescent="0.25">
      <c r="A152" t="s">
        <v>82</v>
      </c>
      <c r="B152" t="s">
        <v>258</v>
      </c>
      <c r="C152" t="s">
        <v>1109</v>
      </c>
      <c r="D152" t="s">
        <v>1121</v>
      </c>
      <c r="E152">
        <v>92.44</v>
      </c>
      <c r="F152">
        <v>287498</v>
      </c>
      <c r="G152" t="s">
        <v>1131</v>
      </c>
      <c r="H152" t="s">
        <v>1133</v>
      </c>
    </row>
    <row r="153" spans="1:8" x14ac:dyDescent="0.25">
      <c r="A153" t="s">
        <v>83</v>
      </c>
      <c r="B153" t="s">
        <v>259</v>
      </c>
      <c r="C153" t="s">
        <v>1113</v>
      </c>
      <c r="D153" t="s">
        <v>1125</v>
      </c>
      <c r="E153">
        <v>63.08</v>
      </c>
      <c r="F153">
        <v>669162</v>
      </c>
      <c r="G153" t="s">
        <v>1128</v>
      </c>
      <c r="H153" t="s">
        <v>1133</v>
      </c>
    </row>
    <row r="154" spans="1:8" x14ac:dyDescent="0.25">
      <c r="A154" t="s">
        <v>84</v>
      </c>
      <c r="B154" t="s">
        <v>260</v>
      </c>
      <c r="C154" t="s">
        <v>1117</v>
      </c>
      <c r="D154" t="s">
        <v>1127</v>
      </c>
      <c r="E154">
        <v>83.46</v>
      </c>
      <c r="F154">
        <v>799653</v>
      </c>
      <c r="G154" t="s">
        <v>1132</v>
      </c>
      <c r="H154" t="s">
        <v>1133</v>
      </c>
    </row>
    <row r="155" spans="1:8" x14ac:dyDescent="0.25">
      <c r="A155" t="s">
        <v>16</v>
      </c>
      <c r="B155" t="s">
        <v>261</v>
      </c>
      <c r="C155" t="s">
        <v>1110</v>
      </c>
      <c r="D155" t="s">
        <v>1122</v>
      </c>
      <c r="E155">
        <v>98.95</v>
      </c>
      <c r="F155">
        <v>395889</v>
      </c>
      <c r="G155" t="s">
        <v>1129</v>
      </c>
      <c r="H155" t="s">
        <v>1133</v>
      </c>
    </row>
    <row r="156" spans="1:8" x14ac:dyDescent="0.25">
      <c r="A156" t="s">
        <v>34</v>
      </c>
      <c r="B156" t="s">
        <v>262</v>
      </c>
      <c r="C156" t="s">
        <v>1116</v>
      </c>
      <c r="D156" t="s">
        <v>1127</v>
      </c>
      <c r="E156">
        <v>76.73</v>
      </c>
      <c r="F156">
        <v>367349</v>
      </c>
      <c r="G156" t="s">
        <v>1128</v>
      </c>
      <c r="H156" t="s">
        <v>1133</v>
      </c>
    </row>
    <row r="157" spans="1:8" x14ac:dyDescent="0.25">
      <c r="A157" t="s">
        <v>58</v>
      </c>
      <c r="B157" t="s">
        <v>263</v>
      </c>
      <c r="C157" t="s">
        <v>1114</v>
      </c>
      <c r="D157" t="s">
        <v>1120</v>
      </c>
      <c r="E157">
        <v>38.840000000000003</v>
      </c>
      <c r="F157">
        <v>956562</v>
      </c>
      <c r="G157" t="s">
        <v>1132</v>
      </c>
      <c r="H157" t="s">
        <v>1133</v>
      </c>
    </row>
    <row r="158" spans="1:8" x14ac:dyDescent="0.25">
      <c r="A158" t="s">
        <v>48</v>
      </c>
      <c r="B158" t="s">
        <v>264</v>
      </c>
      <c r="C158" t="s">
        <v>1110</v>
      </c>
      <c r="D158" t="s">
        <v>1122</v>
      </c>
      <c r="E158">
        <v>64.430000000000007</v>
      </c>
      <c r="F158">
        <v>845073</v>
      </c>
      <c r="G158" t="s">
        <v>1129</v>
      </c>
      <c r="H158" t="s">
        <v>1133</v>
      </c>
    </row>
    <row r="159" spans="1:8" x14ac:dyDescent="0.25">
      <c r="A159" t="s">
        <v>36</v>
      </c>
      <c r="B159" t="s">
        <v>265</v>
      </c>
      <c r="C159" t="s">
        <v>1116</v>
      </c>
      <c r="D159" t="s">
        <v>1120</v>
      </c>
      <c r="E159">
        <v>95.61</v>
      </c>
      <c r="F159">
        <v>644817</v>
      </c>
      <c r="G159" t="s">
        <v>1131</v>
      </c>
      <c r="H159" t="s">
        <v>1133</v>
      </c>
    </row>
    <row r="160" spans="1:8" x14ac:dyDescent="0.25">
      <c r="A160" t="s">
        <v>85</v>
      </c>
      <c r="B160" t="s">
        <v>266</v>
      </c>
      <c r="C160" t="s">
        <v>1109</v>
      </c>
      <c r="D160" t="s">
        <v>1126</v>
      </c>
      <c r="E160">
        <v>42.94</v>
      </c>
      <c r="F160">
        <v>732431</v>
      </c>
      <c r="G160" t="s">
        <v>1128</v>
      </c>
      <c r="H160" t="s">
        <v>1133</v>
      </c>
    </row>
    <row r="161" spans="1:8" x14ac:dyDescent="0.25">
      <c r="A161" t="s">
        <v>78</v>
      </c>
      <c r="B161" t="s">
        <v>267</v>
      </c>
      <c r="C161" t="s">
        <v>1114</v>
      </c>
      <c r="D161" t="s">
        <v>1118</v>
      </c>
      <c r="E161">
        <v>79.45</v>
      </c>
      <c r="F161">
        <v>293161</v>
      </c>
      <c r="G161" t="s">
        <v>1131</v>
      </c>
      <c r="H161" t="s">
        <v>1133</v>
      </c>
    </row>
    <row r="162" spans="1:8" x14ac:dyDescent="0.25">
      <c r="A162" t="s">
        <v>37</v>
      </c>
      <c r="B162" t="s">
        <v>268</v>
      </c>
      <c r="C162" t="s">
        <v>1110</v>
      </c>
      <c r="D162" t="s">
        <v>1120</v>
      </c>
      <c r="E162">
        <v>63.67</v>
      </c>
      <c r="F162">
        <v>443158</v>
      </c>
      <c r="G162" t="s">
        <v>1128</v>
      </c>
      <c r="H162" t="s">
        <v>1133</v>
      </c>
    </row>
    <row r="163" spans="1:8" x14ac:dyDescent="0.25">
      <c r="A163" t="s">
        <v>85</v>
      </c>
      <c r="B163" t="s">
        <v>269</v>
      </c>
      <c r="C163" t="s">
        <v>1113</v>
      </c>
      <c r="D163" t="s">
        <v>1120</v>
      </c>
      <c r="E163">
        <v>38.4</v>
      </c>
      <c r="F163">
        <v>116582</v>
      </c>
      <c r="G163" t="s">
        <v>1132</v>
      </c>
      <c r="H163" t="s">
        <v>1133</v>
      </c>
    </row>
    <row r="164" spans="1:8" x14ac:dyDescent="0.25">
      <c r="A164" t="s">
        <v>86</v>
      </c>
      <c r="B164" t="s">
        <v>270</v>
      </c>
      <c r="C164" t="s">
        <v>1109</v>
      </c>
      <c r="D164" t="s">
        <v>1118</v>
      </c>
      <c r="E164">
        <v>67.03</v>
      </c>
      <c r="F164">
        <v>801413</v>
      </c>
      <c r="G164" t="s">
        <v>1129</v>
      </c>
      <c r="H164" t="s">
        <v>1133</v>
      </c>
    </row>
    <row r="165" spans="1:8" x14ac:dyDescent="0.25">
      <c r="A165" t="s">
        <v>77</v>
      </c>
      <c r="B165" t="s">
        <v>271</v>
      </c>
      <c r="C165" t="s">
        <v>1116</v>
      </c>
      <c r="D165" t="s">
        <v>1122</v>
      </c>
      <c r="E165">
        <v>52.13</v>
      </c>
      <c r="F165">
        <v>279027</v>
      </c>
      <c r="G165" t="s">
        <v>1132</v>
      </c>
      <c r="H165" t="s">
        <v>1133</v>
      </c>
    </row>
    <row r="166" spans="1:8" x14ac:dyDescent="0.25">
      <c r="A166" t="s">
        <v>55</v>
      </c>
      <c r="B166" t="s">
        <v>272</v>
      </c>
      <c r="C166" t="s">
        <v>1114</v>
      </c>
      <c r="D166" t="s">
        <v>1125</v>
      </c>
      <c r="E166">
        <v>45.06</v>
      </c>
      <c r="F166">
        <v>111941</v>
      </c>
      <c r="G166" t="s">
        <v>1128</v>
      </c>
      <c r="H166" t="s">
        <v>1134</v>
      </c>
    </row>
    <row r="167" spans="1:8" x14ac:dyDescent="0.25">
      <c r="A167" t="s">
        <v>16</v>
      </c>
      <c r="B167" t="s">
        <v>273</v>
      </c>
      <c r="C167" t="s">
        <v>1114</v>
      </c>
      <c r="D167" t="s">
        <v>1121</v>
      </c>
      <c r="E167">
        <v>75.45</v>
      </c>
      <c r="F167">
        <v>427293</v>
      </c>
      <c r="G167" t="s">
        <v>1132</v>
      </c>
      <c r="H167" t="s">
        <v>1133</v>
      </c>
    </row>
    <row r="168" spans="1:8" x14ac:dyDescent="0.25">
      <c r="A168" t="s">
        <v>32</v>
      </c>
      <c r="B168" t="s">
        <v>274</v>
      </c>
      <c r="C168" t="s">
        <v>1114</v>
      </c>
      <c r="D168" t="s">
        <v>1119</v>
      </c>
      <c r="E168">
        <v>78.94</v>
      </c>
      <c r="F168">
        <v>568635</v>
      </c>
      <c r="G168" t="s">
        <v>1128</v>
      </c>
      <c r="H168" t="s">
        <v>1133</v>
      </c>
    </row>
    <row r="169" spans="1:8" x14ac:dyDescent="0.25">
      <c r="A169" t="s">
        <v>87</v>
      </c>
      <c r="B169" t="s">
        <v>275</v>
      </c>
      <c r="C169" t="s">
        <v>1111</v>
      </c>
      <c r="D169" t="s">
        <v>1119</v>
      </c>
      <c r="E169">
        <v>75.150000000000006</v>
      </c>
      <c r="F169">
        <v>899772</v>
      </c>
      <c r="G169" t="s">
        <v>1129</v>
      </c>
      <c r="H169" t="s">
        <v>1133</v>
      </c>
    </row>
    <row r="170" spans="1:8" x14ac:dyDescent="0.25">
      <c r="A170" t="s">
        <v>36</v>
      </c>
      <c r="B170" t="s">
        <v>276</v>
      </c>
      <c r="C170" t="s">
        <v>1111</v>
      </c>
      <c r="D170" t="s">
        <v>1122</v>
      </c>
      <c r="E170">
        <v>99.41</v>
      </c>
      <c r="F170">
        <v>330950</v>
      </c>
      <c r="G170" t="s">
        <v>1130</v>
      </c>
      <c r="H170" t="s">
        <v>1134</v>
      </c>
    </row>
    <row r="171" spans="1:8" x14ac:dyDescent="0.25">
      <c r="A171" t="s">
        <v>61</v>
      </c>
      <c r="B171" t="s">
        <v>277</v>
      </c>
      <c r="C171" t="s">
        <v>1117</v>
      </c>
      <c r="D171" t="s">
        <v>1120</v>
      </c>
      <c r="E171">
        <v>51.72</v>
      </c>
      <c r="F171">
        <v>310700</v>
      </c>
      <c r="G171" t="s">
        <v>1131</v>
      </c>
      <c r="H171" t="s">
        <v>1134</v>
      </c>
    </row>
    <row r="172" spans="1:8" x14ac:dyDescent="0.25">
      <c r="A172" t="s">
        <v>46</v>
      </c>
      <c r="B172" t="s">
        <v>278</v>
      </c>
      <c r="C172" t="s">
        <v>1112</v>
      </c>
      <c r="D172" t="s">
        <v>1123</v>
      </c>
      <c r="E172">
        <v>64.17</v>
      </c>
      <c r="F172">
        <v>637843</v>
      </c>
      <c r="G172" t="s">
        <v>1130</v>
      </c>
      <c r="H172" t="s">
        <v>1134</v>
      </c>
    </row>
    <row r="173" spans="1:8" x14ac:dyDescent="0.25">
      <c r="A173" t="s">
        <v>76</v>
      </c>
      <c r="B173" t="s">
        <v>279</v>
      </c>
      <c r="C173" t="s">
        <v>1113</v>
      </c>
      <c r="D173" t="s">
        <v>1118</v>
      </c>
      <c r="E173">
        <v>65.209999999999994</v>
      </c>
      <c r="F173">
        <v>535538</v>
      </c>
      <c r="G173" t="s">
        <v>1129</v>
      </c>
      <c r="H173" t="s">
        <v>1134</v>
      </c>
    </row>
    <row r="174" spans="1:8" x14ac:dyDescent="0.25">
      <c r="A174" t="s">
        <v>82</v>
      </c>
      <c r="B174" t="s">
        <v>280</v>
      </c>
      <c r="C174" t="s">
        <v>1116</v>
      </c>
      <c r="D174" t="s">
        <v>1121</v>
      </c>
      <c r="E174">
        <v>67.53</v>
      </c>
      <c r="F174">
        <v>335354</v>
      </c>
      <c r="G174" t="s">
        <v>1130</v>
      </c>
      <c r="H174" t="s">
        <v>1133</v>
      </c>
    </row>
    <row r="175" spans="1:8" x14ac:dyDescent="0.25">
      <c r="A175" t="s">
        <v>29</v>
      </c>
      <c r="B175" t="s">
        <v>281</v>
      </c>
      <c r="C175" t="s">
        <v>1114</v>
      </c>
      <c r="D175" t="s">
        <v>1121</v>
      </c>
      <c r="E175">
        <v>84.99</v>
      </c>
      <c r="F175">
        <v>239995</v>
      </c>
      <c r="G175" t="s">
        <v>1128</v>
      </c>
      <c r="H175" t="s">
        <v>1133</v>
      </c>
    </row>
    <row r="176" spans="1:8" x14ac:dyDescent="0.25">
      <c r="A176" t="s">
        <v>75</v>
      </c>
      <c r="B176" t="s">
        <v>282</v>
      </c>
      <c r="C176" t="s">
        <v>1113</v>
      </c>
      <c r="D176" t="s">
        <v>1118</v>
      </c>
      <c r="E176">
        <v>77.25</v>
      </c>
      <c r="F176">
        <v>467389</v>
      </c>
      <c r="G176" t="s">
        <v>1131</v>
      </c>
      <c r="H176" t="s">
        <v>1133</v>
      </c>
    </row>
    <row r="177" spans="1:8" x14ac:dyDescent="0.25">
      <c r="A177" t="s">
        <v>53</v>
      </c>
      <c r="B177" t="s">
        <v>283</v>
      </c>
      <c r="C177" t="s">
        <v>1114</v>
      </c>
      <c r="D177" t="s">
        <v>1120</v>
      </c>
      <c r="E177">
        <v>78.739999999999995</v>
      </c>
      <c r="F177">
        <v>476021</v>
      </c>
      <c r="G177" t="s">
        <v>1130</v>
      </c>
      <c r="H177" t="s">
        <v>1133</v>
      </c>
    </row>
    <row r="178" spans="1:8" x14ac:dyDescent="0.25">
      <c r="A178" t="s">
        <v>42</v>
      </c>
      <c r="B178" t="s">
        <v>284</v>
      </c>
      <c r="C178" t="s">
        <v>1114</v>
      </c>
      <c r="D178" t="s">
        <v>1121</v>
      </c>
      <c r="E178">
        <v>71.95</v>
      </c>
      <c r="F178">
        <v>342036</v>
      </c>
      <c r="G178" t="s">
        <v>1132</v>
      </c>
      <c r="H178" t="s">
        <v>1133</v>
      </c>
    </row>
    <row r="179" spans="1:8" x14ac:dyDescent="0.25">
      <c r="A179" t="s">
        <v>84</v>
      </c>
      <c r="B179" t="s">
        <v>285</v>
      </c>
      <c r="C179" t="s">
        <v>1108</v>
      </c>
      <c r="D179" t="s">
        <v>1126</v>
      </c>
      <c r="E179">
        <v>69.290000000000006</v>
      </c>
      <c r="F179">
        <v>683032</v>
      </c>
      <c r="G179" t="s">
        <v>1131</v>
      </c>
      <c r="H179" t="s">
        <v>1133</v>
      </c>
    </row>
    <row r="180" spans="1:8" x14ac:dyDescent="0.25">
      <c r="A180" t="s">
        <v>27</v>
      </c>
      <c r="B180" t="s">
        <v>286</v>
      </c>
      <c r="C180" t="s">
        <v>1108</v>
      </c>
      <c r="D180" t="s">
        <v>1125</v>
      </c>
      <c r="E180">
        <v>38.11</v>
      </c>
      <c r="F180">
        <v>875607</v>
      </c>
      <c r="G180" t="s">
        <v>1130</v>
      </c>
      <c r="H180" t="s">
        <v>1133</v>
      </c>
    </row>
    <row r="181" spans="1:8" x14ac:dyDescent="0.25">
      <c r="A181" t="s">
        <v>24</v>
      </c>
      <c r="B181" t="s">
        <v>287</v>
      </c>
      <c r="C181" t="s">
        <v>1108</v>
      </c>
      <c r="D181" t="s">
        <v>1122</v>
      </c>
      <c r="E181">
        <v>43.14</v>
      </c>
      <c r="F181">
        <v>991106</v>
      </c>
      <c r="G181" t="s">
        <v>1130</v>
      </c>
      <c r="H181" t="s">
        <v>1133</v>
      </c>
    </row>
    <row r="182" spans="1:8" x14ac:dyDescent="0.25">
      <c r="A182" t="s">
        <v>56</v>
      </c>
      <c r="B182" t="s">
        <v>288</v>
      </c>
      <c r="C182" t="s">
        <v>1108</v>
      </c>
      <c r="D182" t="s">
        <v>1120</v>
      </c>
      <c r="E182">
        <v>36</v>
      </c>
      <c r="F182">
        <v>293804</v>
      </c>
      <c r="G182" t="s">
        <v>1132</v>
      </c>
      <c r="H182" t="s">
        <v>1134</v>
      </c>
    </row>
    <row r="183" spans="1:8" x14ac:dyDescent="0.25">
      <c r="A183" t="s">
        <v>83</v>
      </c>
      <c r="B183" t="s">
        <v>289</v>
      </c>
      <c r="C183" t="s">
        <v>1110</v>
      </c>
      <c r="D183" t="s">
        <v>1127</v>
      </c>
      <c r="E183">
        <v>86.13</v>
      </c>
      <c r="F183">
        <v>466317</v>
      </c>
      <c r="G183" t="s">
        <v>1128</v>
      </c>
      <c r="H183" t="s">
        <v>1133</v>
      </c>
    </row>
    <row r="184" spans="1:8" x14ac:dyDescent="0.25">
      <c r="A184" t="s">
        <v>51</v>
      </c>
      <c r="B184" t="s">
        <v>290</v>
      </c>
      <c r="C184" t="s">
        <v>1117</v>
      </c>
      <c r="D184" t="s">
        <v>1123</v>
      </c>
      <c r="E184">
        <v>56.3</v>
      </c>
      <c r="F184">
        <v>530136</v>
      </c>
      <c r="G184" t="s">
        <v>1131</v>
      </c>
      <c r="H184" t="s">
        <v>1134</v>
      </c>
    </row>
    <row r="185" spans="1:8" x14ac:dyDescent="0.25">
      <c r="A185" t="s">
        <v>72</v>
      </c>
      <c r="B185" t="s">
        <v>291</v>
      </c>
      <c r="C185" t="s">
        <v>1111</v>
      </c>
      <c r="D185" t="s">
        <v>1120</v>
      </c>
      <c r="E185">
        <v>60.22</v>
      </c>
      <c r="F185">
        <v>916217</v>
      </c>
      <c r="G185" t="s">
        <v>1129</v>
      </c>
      <c r="H185" t="s">
        <v>1133</v>
      </c>
    </row>
    <row r="186" spans="1:8" x14ac:dyDescent="0.25">
      <c r="A186" t="s">
        <v>87</v>
      </c>
      <c r="B186" t="s">
        <v>292</v>
      </c>
      <c r="C186" t="s">
        <v>1112</v>
      </c>
      <c r="D186" t="s">
        <v>1124</v>
      </c>
      <c r="E186">
        <v>81.34</v>
      </c>
      <c r="F186">
        <v>645844</v>
      </c>
      <c r="G186" t="s">
        <v>1130</v>
      </c>
      <c r="H186" t="s">
        <v>1133</v>
      </c>
    </row>
    <row r="187" spans="1:8" x14ac:dyDescent="0.25">
      <c r="A187" t="s">
        <v>77</v>
      </c>
      <c r="B187" t="s">
        <v>293</v>
      </c>
      <c r="C187" t="s">
        <v>1116</v>
      </c>
      <c r="D187" t="s">
        <v>1126</v>
      </c>
      <c r="E187">
        <v>68.88</v>
      </c>
      <c r="F187">
        <v>307287</v>
      </c>
      <c r="G187" t="s">
        <v>1132</v>
      </c>
      <c r="H187" t="s">
        <v>1133</v>
      </c>
    </row>
    <row r="188" spans="1:8" x14ac:dyDescent="0.25">
      <c r="A188" t="s">
        <v>28</v>
      </c>
      <c r="B188" t="s">
        <v>294</v>
      </c>
      <c r="C188" t="s">
        <v>1109</v>
      </c>
      <c r="D188" t="s">
        <v>1126</v>
      </c>
      <c r="E188">
        <v>85.08</v>
      </c>
      <c r="F188">
        <v>504646</v>
      </c>
      <c r="G188" t="s">
        <v>1128</v>
      </c>
      <c r="H188" t="s">
        <v>1133</v>
      </c>
    </row>
    <row r="189" spans="1:8" x14ac:dyDescent="0.25">
      <c r="A189" t="s">
        <v>43</v>
      </c>
      <c r="B189" t="s">
        <v>295</v>
      </c>
      <c r="C189" t="s">
        <v>1116</v>
      </c>
      <c r="D189" t="s">
        <v>1120</v>
      </c>
      <c r="E189">
        <v>79.89</v>
      </c>
      <c r="F189">
        <v>542467</v>
      </c>
      <c r="G189" t="s">
        <v>1131</v>
      </c>
      <c r="H189" t="s">
        <v>1133</v>
      </c>
    </row>
    <row r="190" spans="1:8" x14ac:dyDescent="0.25">
      <c r="A190" t="s">
        <v>14</v>
      </c>
      <c r="B190" t="s">
        <v>296</v>
      </c>
      <c r="C190" t="s">
        <v>1109</v>
      </c>
      <c r="D190" t="s">
        <v>1127</v>
      </c>
      <c r="E190">
        <v>87.04</v>
      </c>
      <c r="F190">
        <v>556525</v>
      </c>
      <c r="G190" t="s">
        <v>1128</v>
      </c>
      <c r="H190" t="s">
        <v>1134</v>
      </c>
    </row>
    <row r="191" spans="1:8" x14ac:dyDescent="0.25">
      <c r="A191" t="s">
        <v>84</v>
      </c>
      <c r="B191" t="s">
        <v>297</v>
      </c>
      <c r="C191" t="s">
        <v>1108</v>
      </c>
      <c r="D191" t="s">
        <v>1119</v>
      </c>
      <c r="E191">
        <v>77.84</v>
      </c>
      <c r="F191">
        <v>958105</v>
      </c>
      <c r="G191" t="s">
        <v>1128</v>
      </c>
      <c r="H191" t="s">
        <v>1133</v>
      </c>
    </row>
    <row r="192" spans="1:8" x14ac:dyDescent="0.25">
      <c r="A192" t="s">
        <v>57</v>
      </c>
      <c r="B192" t="s">
        <v>298</v>
      </c>
      <c r="C192" t="s">
        <v>1113</v>
      </c>
      <c r="D192" t="s">
        <v>1123</v>
      </c>
      <c r="E192">
        <v>52.13</v>
      </c>
      <c r="F192">
        <v>299313</v>
      </c>
      <c r="G192" t="s">
        <v>1130</v>
      </c>
      <c r="H192" t="s">
        <v>1133</v>
      </c>
    </row>
    <row r="193" spans="1:8" x14ac:dyDescent="0.25">
      <c r="A193" t="s">
        <v>23</v>
      </c>
      <c r="B193" t="s">
        <v>299</v>
      </c>
      <c r="C193" t="s">
        <v>1114</v>
      </c>
      <c r="D193" t="s">
        <v>1127</v>
      </c>
      <c r="E193">
        <v>71.709999999999994</v>
      </c>
      <c r="F193">
        <v>265224</v>
      </c>
      <c r="G193" t="s">
        <v>1129</v>
      </c>
      <c r="H193" t="s">
        <v>1133</v>
      </c>
    </row>
    <row r="194" spans="1:8" x14ac:dyDescent="0.25">
      <c r="A194" t="s">
        <v>59</v>
      </c>
      <c r="B194" t="s">
        <v>300</v>
      </c>
      <c r="C194" t="s">
        <v>1114</v>
      </c>
      <c r="D194" t="s">
        <v>1123</v>
      </c>
      <c r="E194">
        <v>38.92</v>
      </c>
      <c r="F194">
        <v>831464</v>
      </c>
      <c r="G194" t="s">
        <v>1132</v>
      </c>
      <c r="H194" t="s">
        <v>1133</v>
      </c>
    </row>
    <row r="195" spans="1:8" x14ac:dyDescent="0.25">
      <c r="A195" t="s">
        <v>46</v>
      </c>
      <c r="B195" t="s">
        <v>301</v>
      </c>
      <c r="C195" t="s">
        <v>1113</v>
      </c>
      <c r="D195" t="s">
        <v>1120</v>
      </c>
      <c r="E195">
        <v>87.14</v>
      </c>
      <c r="F195">
        <v>685008</v>
      </c>
      <c r="G195" t="s">
        <v>1131</v>
      </c>
      <c r="H195" t="s">
        <v>1133</v>
      </c>
    </row>
    <row r="196" spans="1:8" x14ac:dyDescent="0.25">
      <c r="A196" t="s">
        <v>70</v>
      </c>
      <c r="B196" t="s">
        <v>302</v>
      </c>
      <c r="C196" t="s">
        <v>1116</v>
      </c>
      <c r="D196" t="s">
        <v>1123</v>
      </c>
      <c r="E196">
        <v>99.07</v>
      </c>
      <c r="F196">
        <v>114714</v>
      </c>
      <c r="G196" t="s">
        <v>1130</v>
      </c>
      <c r="H196" t="s">
        <v>1133</v>
      </c>
    </row>
    <row r="197" spans="1:8" x14ac:dyDescent="0.25">
      <c r="A197" t="s">
        <v>63</v>
      </c>
      <c r="B197" t="s">
        <v>303</v>
      </c>
      <c r="C197" t="s">
        <v>1113</v>
      </c>
      <c r="D197" t="s">
        <v>1121</v>
      </c>
      <c r="E197">
        <v>83.01</v>
      </c>
      <c r="F197">
        <v>117665</v>
      </c>
      <c r="G197" t="s">
        <v>1131</v>
      </c>
      <c r="H197" t="s">
        <v>1133</v>
      </c>
    </row>
    <row r="198" spans="1:8" x14ac:dyDescent="0.25">
      <c r="A198" t="s">
        <v>88</v>
      </c>
      <c r="B198" t="s">
        <v>304</v>
      </c>
      <c r="C198" t="s">
        <v>1117</v>
      </c>
      <c r="D198" t="s">
        <v>1124</v>
      </c>
      <c r="E198">
        <v>61.52</v>
      </c>
      <c r="F198">
        <v>425787</v>
      </c>
      <c r="G198" t="s">
        <v>1128</v>
      </c>
      <c r="H198" t="s">
        <v>1133</v>
      </c>
    </row>
    <row r="199" spans="1:8" x14ac:dyDescent="0.25">
      <c r="A199" t="s">
        <v>27</v>
      </c>
      <c r="B199" t="s">
        <v>305</v>
      </c>
      <c r="C199" t="s">
        <v>1109</v>
      </c>
      <c r="D199" t="s">
        <v>1127</v>
      </c>
      <c r="E199">
        <v>44.19</v>
      </c>
      <c r="F199">
        <v>719623</v>
      </c>
      <c r="G199" t="s">
        <v>1132</v>
      </c>
      <c r="H199" t="s">
        <v>1133</v>
      </c>
    </row>
    <row r="200" spans="1:8" x14ac:dyDescent="0.25">
      <c r="A200" t="s">
        <v>42</v>
      </c>
      <c r="B200" t="s">
        <v>306</v>
      </c>
      <c r="C200" t="s">
        <v>1111</v>
      </c>
      <c r="D200" t="s">
        <v>1119</v>
      </c>
      <c r="E200">
        <v>39.340000000000003</v>
      </c>
      <c r="F200">
        <v>473387</v>
      </c>
      <c r="G200" t="s">
        <v>1129</v>
      </c>
      <c r="H200" t="s">
        <v>1134</v>
      </c>
    </row>
    <row r="201" spans="1:8" x14ac:dyDescent="0.25">
      <c r="A201" t="s">
        <v>25</v>
      </c>
      <c r="B201" t="s">
        <v>307</v>
      </c>
      <c r="C201" t="s">
        <v>1109</v>
      </c>
      <c r="D201" t="s">
        <v>1122</v>
      </c>
      <c r="E201">
        <v>73.03</v>
      </c>
      <c r="F201">
        <v>869318</v>
      </c>
      <c r="G201" t="s">
        <v>1129</v>
      </c>
      <c r="H201" t="s">
        <v>1133</v>
      </c>
    </row>
    <row r="202" spans="1:8" x14ac:dyDescent="0.25">
      <c r="A202" t="s">
        <v>28</v>
      </c>
      <c r="B202" t="s">
        <v>308</v>
      </c>
      <c r="C202" t="s">
        <v>1110</v>
      </c>
      <c r="D202" t="s">
        <v>1119</v>
      </c>
      <c r="E202">
        <v>91.83</v>
      </c>
      <c r="F202">
        <v>829915</v>
      </c>
      <c r="G202" t="s">
        <v>1129</v>
      </c>
      <c r="H202" t="s">
        <v>1133</v>
      </c>
    </row>
    <row r="203" spans="1:8" x14ac:dyDescent="0.25">
      <c r="A203" t="s">
        <v>26</v>
      </c>
      <c r="B203" t="s">
        <v>309</v>
      </c>
      <c r="C203" t="s">
        <v>1111</v>
      </c>
      <c r="D203" t="s">
        <v>1119</v>
      </c>
      <c r="E203">
        <v>44.67</v>
      </c>
      <c r="F203">
        <v>194366</v>
      </c>
      <c r="G203" t="s">
        <v>1132</v>
      </c>
      <c r="H203" t="s">
        <v>1133</v>
      </c>
    </row>
    <row r="204" spans="1:8" x14ac:dyDescent="0.25">
      <c r="A204" t="s">
        <v>89</v>
      </c>
      <c r="B204" t="s">
        <v>310</v>
      </c>
      <c r="C204" t="s">
        <v>1115</v>
      </c>
      <c r="D204" t="s">
        <v>1125</v>
      </c>
      <c r="E204">
        <v>46.2</v>
      </c>
      <c r="F204">
        <v>834102</v>
      </c>
      <c r="G204" t="s">
        <v>1130</v>
      </c>
      <c r="H204" t="s">
        <v>1133</v>
      </c>
    </row>
    <row r="205" spans="1:8" x14ac:dyDescent="0.25">
      <c r="A205" t="s">
        <v>64</v>
      </c>
      <c r="B205" t="s">
        <v>311</v>
      </c>
      <c r="C205" t="s">
        <v>1117</v>
      </c>
      <c r="D205" t="s">
        <v>1121</v>
      </c>
      <c r="E205">
        <v>57.61</v>
      </c>
      <c r="F205">
        <v>726252</v>
      </c>
      <c r="G205" t="s">
        <v>1129</v>
      </c>
      <c r="H205" t="s">
        <v>1133</v>
      </c>
    </row>
    <row r="206" spans="1:8" x14ac:dyDescent="0.25">
      <c r="A206" t="s">
        <v>76</v>
      </c>
      <c r="B206" t="s">
        <v>312</v>
      </c>
      <c r="C206" t="s">
        <v>1109</v>
      </c>
      <c r="D206" t="s">
        <v>1123</v>
      </c>
      <c r="E206">
        <v>67.42</v>
      </c>
      <c r="F206">
        <v>886833</v>
      </c>
      <c r="G206" t="s">
        <v>1132</v>
      </c>
      <c r="H206" t="s">
        <v>1134</v>
      </c>
    </row>
    <row r="207" spans="1:8" x14ac:dyDescent="0.25">
      <c r="A207" t="s">
        <v>56</v>
      </c>
      <c r="B207" t="s">
        <v>313</v>
      </c>
      <c r="C207" t="s">
        <v>1113</v>
      </c>
      <c r="D207" t="s">
        <v>1126</v>
      </c>
      <c r="E207">
        <v>79.16</v>
      </c>
      <c r="F207">
        <v>158220</v>
      </c>
      <c r="G207" t="s">
        <v>1131</v>
      </c>
      <c r="H207" t="s">
        <v>1133</v>
      </c>
    </row>
    <row r="208" spans="1:8" x14ac:dyDescent="0.25">
      <c r="A208" t="s">
        <v>69</v>
      </c>
      <c r="B208" t="s">
        <v>314</v>
      </c>
      <c r="C208" t="s">
        <v>1115</v>
      </c>
      <c r="D208" t="s">
        <v>1121</v>
      </c>
      <c r="E208">
        <v>77.95</v>
      </c>
      <c r="F208">
        <v>899616</v>
      </c>
      <c r="G208" t="s">
        <v>1130</v>
      </c>
      <c r="H208" t="s">
        <v>1133</v>
      </c>
    </row>
    <row r="209" spans="1:8" x14ac:dyDescent="0.25">
      <c r="A209" t="s">
        <v>79</v>
      </c>
      <c r="B209" t="s">
        <v>315</v>
      </c>
      <c r="C209" t="s">
        <v>1112</v>
      </c>
      <c r="D209" t="s">
        <v>1122</v>
      </c>
      <c r="E209">
        <v>85.68</v>
      </c>
      <c r="F209">
        <v>460200</v>
      </c>
      <c r="G209" t="s">
        <v>1130</v>
      </c>
      <c r="H209" t="s">
        <v>1134</v>
      </c>
    </row>
    <row r="210" spans="1:8" x14ac:dyDescent="0.25">
      <c r="A210" t="s">
        <v>65</v>
      </c>
      <c r="B210" t="s">
        <v>316</v>
      </c>
      <c r="C210" t="s">
        <v>1108</v>
      </c>
      <c r="D210" t="s">
        <v>1127</v>
      </c>
      <c r="E210">
        <v>50.84</v>
      </c>
      <c r="F210">
        <v>468380</v>
      </c>
      <c r="G210" t="s">
        <v>1130</v>
      </c>
      <c r="H210" t="s">
        <v>1134</v>
      </c>
    </row>
    <row r="211" spans="1:8" x14ac:dyDescent="0.25">
      <c r="A211" t="s">
        <v>42</v>
      </c>
      <c r="B211" t="s">
        <v>317</v>
      </c>
      <c r="C211" t="s">
        <v>1111</v>
      </c>
      <c r="D211" t="s">
        <v>1127</v>
      </c>
      <c r="E211">
        <v>91.63</v>
      </c>
      <c r="F211">
        <v>179613</v>
      </c>
      <c r="G211" t="s">
        <v>1128</v>
      </c>
      <c r="H211" t="s">
        <v>1133</v>
      </c>
    </row>
    <row r="212" spans="1:8" x14ac:dyDescent="0.25">
      <c r="A212" t="s">
        <v>45</v>
      </c>
      <c r="B212" t="s">
        <v>318</v>
      </c>
      <c r="C212" t="s">
        <v>1115</v>
      </c>
      <c r="D212" t="s">
        <v>1122</v>
      </c>
      <c r="E212">
        <v>67.73</v>
      </c>
      <c r="F212">
        <v>214223</v>
      </c>
      <c r="G212" t="s">
        <v>1130</v>
      </c>
      <c r="H212" t="s">
        <v>1133</v>
      </c>
    </row>
    <row r="213" spans="1:8" x14ac:dyDescent="0.25">
      <c r="A213" t="s">
        <v>50</v>
      </c>
      <c r="B213" t="s">
        <v>319</v>
      </c>
      <c r="C213" t="s">
        <v>1111</v>
      </c>
      <c r="D213" t="s">
        <v>1125</v>
      </c>
      <c r="E213">
        <v>74.349999999999994</v>
      </c>
      <c r="F213">
        <v>818962</v>
      </c>
      <c r="G213" t="s">
        <v>1130</v>
      </c>
      <c r="H213" t="s">
        <v>1133</v>
      </c>
    </row>
    <row r="214" spans="1:8" x14ac:dyDescent="0.25">
      <c r="A214" t="s">
        <v>63</v>
      </c>
      <c r="B214" t="s">
        <v>320</v>
      </c>
      <c r="C214" t="s">
        <v>1115</v>
      </c>
      <c r="D214" t="s">
        <v>1123</v>
      </c>
      <c r="E214">
        <v>81.31</v>
      </c>
      <c r="F214">
        <v>176050</v>
      </c>
      <c r="G214" t="s">
        <v>1131</v>
      </c>
      <c r="H214" t="s">
        <v>1133</v>
      </c>
    </row>
    <row r="215" spans="1:8" x14ac:dyDescent="0.25">
      <c r="A215" t="s">
        <v>51</v>
      </c>
      <c r="B215" t="s">
        <v>321</v>
      </c>
      <c r="C215" t="s">
        <v>1115</v>
      </c>
      <c r="D215" t="s">
        <v>1126</v>
      </c>
      <c r="E215">
        <v>65.48</v>
      </c>
      <c r="F215">
        <v>594108</v>
      </c>
      <c r="G215" t="s">
        <v>1132</v>
      </c>
      <c r="H215" t="s">
        <v>1133</v>
      </c>
    </row>
    <row r="216" spans="1:8" x14ac:dyDescent="0.25">
      <c r="A216" t="s">
        <v>41</v>
      </c>
      <c r="B216" t="s">
        <v>322</v>
      </c>
      <c r="C216" t="s">
        <v>1117</v>
      </c>
      <c r="D216" t="s">
        <v>1118</v>
      </c>
      <c r="E216">
        <v>79.56</v>
      </c>
      <c r="F216">
        <v>209568</v>
      </c>
      <c r="G216" t="s">
        <v>1129</v>
      </c>
      <c r="H216" t="s">
        <v>1134</v>
      </c>
    </row>
    <row r="217" spans="1:8" x14ac:dyDescent="0.25">
      <c r="A217" t="s">
        <v>43</v>
      </c>
      <c r="B217" t="s">
        <v>323</v>
      </c>
      <c r="C217" t="s">
        <v>1115</v>
      </c>
      <c r="D217" t="s">
        <v>1122</v>
      </c>
      <c r="E217">
        <v>68.650000000000006</v>
      </c>
      <c r="F217">
        <v>800405</v>
      </c>
      <c r="G217" t="s">
        <v>1128</v>
      </c>
      <c r="H217" t="s">
        <v>1133</v>
      </c>
    </row>
    <row r="218" spans="1:8" x14ac:dyDescent="0.25">
      <c r="A218" t="s">
        <v>82</v>
      </c>
      <c r="B218" t="s">
        <v>324</v>
      </c>
      <c r="C218" t="s">
        <v>1110</v>
      </c>
      <c r="D218" t="s">
        <v>1127</v>
      </c>
      <c r="E218">
        <v>79</v>
      </c>
      <c r="F218">
        <v>582138</v>
      </c>
      <c r="G218" t="s">
        <v>1128</v>
      </c>
      <c r="H218" t="s">
        <v>1133</v>
      </c>
    </row>
    <row r="219" spans="1:8" x14ac:dyDescent="0.25">
      <c r="A219" t="s">
        <v>66</v>
      </c>
      <c r="B219" t="s">
        <v>325</v>
      </c>
      <c r="C219" t="s">
        <v>1115</v>
      </c>
      <c r="D219" t="s">
        <v>1122</v>
      </c>
      <c r="E219">
        <v>38.44</v>
      </c>
      <c r="F219">
        <v>887992</v>
      </c>
      <c r="G219" t="s">
        <v>1131</v>
      </c>
      <c r="H219" t="s">
        <v>1133</v>
      </c>
    </row>
    <row r="220" spans="1:8" x14ac:dyDescent="0.25">
      <c r="A220" t="s">
        <v>90</v>
      </c>
      <c r="B220" t="s">
        <v>326</v>
      </c>
      <c r="C220" t="s">
        <v>1116</v>
      </c>
      <c r="D220" t="s">
        <v>1119</v>
      </c>
      <c r="E220">
        <v>97.29</v>
      </c>
      <c r="F220">
        <v>254873</v>
      </c>
      <c r="G220" t="s">
        <v>1130</v>
      </c>
      <c r="H220" t="s">
        <v>1134</v>
      </c>
    </row>
    <row r="221" spans="1:8" x14ac:dyDescent="0.25">
      <c r="A221" t="s">
        <v>71</v>
      </c>
      <c r="B221" t="s">
        <v>327</v>
      </c>
      <c r="C221" t="s">
        <v>1116</v>
      </c>
      <c r="D221" t="s">
        <v>1127</v>
      </c>
      <c r="E221">
        <v>75.739999999999995</v>
      </c>
      <c r="F221">
        <v>550786</v>
      </c>
      <c r="G221" t="s">
        <v>1128</v>
      </c>
      <c r="H221" t="s">
        <v>1133</v>
      </c>
    </row>
    <row r="222" spans="1:8" x14ac:dyDescent="0.25">
      <c r="A222" t="s">
        <v>55</v>
      </c>
      <c r="B222" t="s">
        <v>328</v>
      </c>
      <c r="C222" t="s">
        <v>1115</v>
      </c>
      <c r="D222" t="s">
        <v>1124</v>
      </c>
      <c r="E222">
        <v>37.36</v>
      </c>
      <c r="F222">
        <v>646518</v>
      </c>
      <c r="G222" t="s">
        <v>1131</v>
      </c>
      <c r="H222" t="s">
        <v>1133</v>
      </c>
    </row>
    <row r="223" spans="1:8" x14ac:dyDescent="0.25">
      <c r="A223" t="s">
        <v>16</v>
      </c>
      <c r="B223" t="s">
        <v>329</v>
      </c>
      <c r="C223" t="s">
        <v>1117</v>
      </c>
      <c r="D223" t="s">
        <v>1127</v>
      </c>
      <c r="E223">
        <v>90.3</v>
      </c>
      <c r="F223">
        <v>444033</v>
      </c>
      <c r="G223" t="s">
        <v>1128</v>
      </c>
      <c r="H223" t="s">
        <v>1133</v>
      </c>
    </row>
    <row r="224" spans="1:8" x14ac:dyDescent="0.25">
      <c r="A224" t="s">
        <v>23</v>
      </c>
      <c r="B224" t="s">
        <v>330</v>
      </c>
      <c r="C224" t="s">
        <v>1115</v>
      </c>
      <c r="D224" t="s">
        <v>1123</v>
      </c>
      <c r="E224">
        <v>41.67</v>
      </c>
      <c r="F224">
        <v>984262</v>
      </c>
      <c r="G224" t="s">
        <v>1128</v>
      </c>
      <c r="H224" t="s">
        <v>1133</v>
      </c>
    </row>
    <row r="225" spans="1:8" x14ac:dyDescent="0.25">
      <c r="A225" t="s">
        <v>65</v>
      </c>
      <c r="B225" t="s">
        <v>331</v>
      </c>
      <c r="C225" t="s">
        <v>1109</v>
      </c>
      <c r="D225" t="s">
        <v>1126</v>
      </c>
      <c r="E225">
        <v>74.03</v>
      </c>
      <c r="F225">
        <v>441126</v>
      </c>
      <c r="G225" t="s">
        <v>1132</v>
      </c>
      <c r="H225" t="s">
        <v>1134</v>
      </c>
    </row>
    <row r="226" spans="1:8" x14ac:dyDescent="0.25">
      <c r="A226" t="s">
        <v>23</v>
      </c>
      <c r="B226" t="s">
        <v>332</v>
      </c>
      <c r="C226" t="s">
        <v>1115</v>
      </c>
      <c r="D226" t="s">
        <v>1121</v>
      </c>
      <c r="E226">
        <v>55.9</v>
      </c>
      <c r="F226">
        <v>520566</v>
      </c>
      <c r="G226" t="s">
        <v>1128</v>
      </c>
      <c r="H226" t="s">
        <v>1133</v>
      </c>
    </row>
    <row r="227" spans="1:8" x14ac:dyDescent="0.25">
      <c r="A227" t="s">
        <v>91</v>
      </c>
      <c r="B227" t="s">
        <v>333</v>
      </c>
      <c r="C227" t="s">
        <v>1108</v>
      </c>
      <c r="D227" t="s">
        <v>1127</v>
      </c>
      <c r="E227">
        <v>35.82</v>
      </c>
      <c r="F227">
        <v>749258</v>
      </c>
      <c r="G227" t="s">
        <v>1129</v>
      </c>
      <c r="H227" t="s">
        <v>1133</v>
      </c>
    </row>
    <row r="228" spans="1:8" x14ac:dyDescent="0.25">
      <c r="A228" t="s">
        <v>66</v>
      </c>
      <c r="B228" t="s">
        <v>334</v>
      </c>
      <c r="C228" t="s">
        <v>1112</v>
      </c>
      <c r="D228" t="s">
        <v>1119</v>
      </c>
      <c r="E228">
        <v>74.849999999999994</v>
      </c>
      <c r="F228">
        <v>740450</v>
      </c>
      <c r="G228" t="s">
        <v>1128</v>
      </c>
      <c r="H228" t="s">
        <v>1133</v>
      </c>
    </row>
    <row r="229" spans="1:8" x14ac:dyDescent="0.25">
      <c r="A229" t="s">
        <v>54</v>
      </c>
      <c r="B229" t="s">
        <v>335</v>
      </c>
      <c r="C229" t="s">
        <v>1117</v>
      </c>
      <c r="D229" t="s">
        <v>1125</v>
      </c>
      <c r="E229">
        <v>92.13</v>
      </c>
      <c r="F229">
        <v>798652</v>
      </c>
      <c r="G229" t="s">
        <v>1132</v>
      </c>
      <c r="H229" t="s">
        <v>1134</v>
      </c>
    </row>
    <row r="230" spans="1:8" x14ac:dyDescent="0.25">
      <c r="A230" t="s">
        <v>57</v>
      </c>
      <c r="B230" t="s">
        <v>336</v>
      </c>
      <c r="C230" t="s">
        <v>1108</v>
      </c>
      <c r="D230" t="s">
        <v>1119</v>
      </c>
      <c r="E230">
        <v>98.84</v>
      </c>
      <c r="F230">
        <v>163288</v>
      </c>
      <c r="G230" t="s">
        <v>1128</v>
      </c>
      <c r="H230" t="s">
        <v>1133</v>
      </c>
    </row>
    <row r="231" spans="1:8" x14ac:dyDescent="0.25">
      <c r="A231" t="s">
        <v>22</v>
      </c>
      <c r="B231" t="s">
        <v>337</v>
      </c>
      <c r="C231" t="s">
        <v>1111</v>
      </c>
      <c r="D231" t="s">
        <v>1122</v>
      </c>
      <c r="E231">
        <v>40.75</v>
      </c>
      <c r="F231">
        <v>938993</v>
      </c>
      <c r="G231" t="s">
        <v>1132</v>
      </c>
      <c r="H231" t="s">
        <v>1133</v>
      </c>
    </row>
    <row r="232" spans="1:8" x14ac:dyDescent="0.25">
      <c r="A232" t="s">
        <v>92</v>
      </c>
      <c r="B232" t="s">
        <v>338</v>
      </c>
      <c r="C232" t="s">
        <v>1116</v>
      </c>
      <c r="D232" t="s">
        <v>1127</v>
      </c>
      <c r="E232">
        <v>95.73</v>
      </c>
      <c r="F232">
        <v>259407</v>
      </c>
      <c r="G232" t="s">
        <v>1128</v>
      </c>
      <c r="H232" t="s">
        <v>1133</v>
      </c>
    </row>
    <row r="233" spans="1:8" x14ac:dyDescent="0.25">
      <c r="A233" t="s">
        <v>42</v>
      </c>
      <c r="B233" t="s">
        <v>339</v>
      </c>
      <c r="C233" t="s">
        <v>1116</v>
      </c>
      <c r="D233" t="s">
        <v>1125</v>
      </c>
      <c r="E233">
        <v>79.650000000000006</v>
      </c>
      <c r="F233">
        <v>261345</v>
      </c>
      <c r="G233" t="s">
        <v>1132</v>
      </c>
      <c r="H233" t="s">
        <v>1133</v>
      </c>
    </row>
    <row r="234" spans="1:8" x14ac:dyDescent="0.25">
      <c r="A234" t="s">
        <v>23</v>
      </c>
      <c r="B234" t="s">
        <v>340</v>
      </c>
      <c r="C234" t="s">
        <v>1117</v>
      </c>
      <c r="D234" t="s">
        <v>1127</v>
      </c>
      <c r="E234">
        <v>82.3</v>
      </c>
      <c r="F234">
        <v>509332</v>
      </c>
      <c r="G234" t="s">
        <v>1131</v>
      </c>
      <c r="H234" t="s">
        <v>1134</v>
      </c>
    </row>
    <row r="235" spans="1:8" x14ac:dyDescent="0.25">
      <c r="A235" t="s">
        <v>61</v>
      </c>
      <c r="B235" t="s">
        <v>341</v>
      </c>
      <c r="C235" t="s">
        <v>1109</v>
      </c>
      <c r="D235" t="s">
        <v>1123</v>
      </c>
      <c r="E235">
        <v>97.48</v>
      </c>
      <c r="F235">
        <v>453541</v>
      </c>
      <c r="G235" t="s">
        <v>1129</v>
      </c>
      <c r="H235" t="s">
        <v>1134</v>
      </c>
    </row>
    <row r="236" spans="1:8" x14ac:dyDescent="0.25">
      <c r="A236" t="s">
        <v>91</v>
      </c>
      <c r="B236" t="s">
        <v>342</v>
      </c>
      <c r="C236" t="s">
        <v>1113</v>
      </c>
      <c r="D236" t="s">
        <v>1126</v>
      </c>
      <c r="E236">
        <v>59.28</v>
      </c>
      <c r="F236">
        <v>563628</v>
      </c>
      <c r="G236" t="s">
        <v>1131</v>
      </c>
      <c r="H236" t="s">
        <v>1133</v>
      </c>
    </row>
    <row r="237" spans="1:8" x14ac:dyDescent="0.25">
      <c r="A237" t="s">
        <v>91</v>
      </c>
      <c r="B237" t="s">
        <v>343</v>
      </c>
      <c r="C237" t="s">
        <v>1115</v>
      </c>
      <c r="D237" t="s">
        <v>1118</v>
      </c>
      <c r="E237">
        <v>78.16</v>
      </c>
      <c r="F237">
        <v>397027</v>
      </c>
      <c r="G237" t="s">
        <v>1130</v>
      </c>
      <c r="H237" t="s">
        <v>1134</v>
      </c>
    </row>
    <row r="238" spans="1:8" x14ac:dyDescent="0.25">
      <c r="A238" t="s">
        <v>47</v>
      </c>
      <c r="B238" t="s">
        <v>344</v>
      </c>
      <c r="C238" t="s">
        <v>1108</v>
      </c>
      <c r="D238" t="s">
        <v>1121</v>
      </c>
      <c r="E238">
        <v>78.53</v>
      </c>
      <c r="F238">
        <v>873289</v>
      </c>
      <c r="G238" t="s">
        <v>1128</v>
      </c>
      <c r="H238" t="s">
        <v>1134</v>
      </c>
    </row>
    <row r="239" spans="1:8" x14ac:dyDescent="0.25">
      <c r="A239" t="s">
        <v>65</v>
      </c>
      <c r="B239" t="s">
        <v>345</v>
      </c>
      <c r="C239" t="s">
        <v>1114</v>
      </c>
      <c r="D239" t="s">
        <v>1120</v>
      </c>
      <c r="E239">
        <v>84.39</v>
      </c>
      <c r="F239">
        <v>543367</v>
      </c>
      <c r="G239" t="s">
        <v>1128</v>
      </c>
      <c r="H239" t="s">
        <v>1134</v>
      </c>
    </row>
    <row r="240" spans="1:8" x14ac:dyDescent="0.25">
      <c r="A240" t="s">
        <v>28</v>
      </c>
      <c r="B240" t="s">
        <v>346</v>
      </c>
      <c r="C240" t="s">
        <v>1115</v>
      </c>
      <c r="D240" t="s">
        <v>1125</v>
      </c>
      <c r="E240">
        <v>44.36</v>
      </c>
      <c r="F240">
        <v>374896</v>
      </c>
      <c r="G240" t="s">
        <v>1128</v>
      </c>
      <c r="H240" t="s">
        <v>1133</v>
      </c>
    </row>
    <row r="241" spans="1:8" x14ac:dyDescent="0.25">
      <c r="A241" t="s">
        <v>62</v>
      </c>
      <c r="B241" t="s">
        <v>347</v>
      </c>
      <c r="C241" t="s">
        <v>1116</v>
      </c>
      <c r="D241" t="s">
        <v>1121</v>
      </c>
      <c r="E241">
        <v>55.72</v>
      </c>
      <c r="F241">
        <v>604047</v>
      </c>
      <c r="G241" t="s">
        <v>1132</v>
      </c>
      <c r="H241" t="s">
        <v>1134</v>
      </c>
    </row>
    <row r="242" spans="1:8" x14ac:dyDescent="0.25">
      <c r="A242" t="s">
        <v>50</v>
      </c>
      <c r="B242" t="s">
        <v>348</v>
      </c>
      <c r="C242" t="s">
        <v>1115</v>
      </c>
      <c r="D242" t="s">
        <v>1125</v>
      </c>
      <c r="E242">
        <v>97.29</v>
      </c>
      <c r="F242">
        <v>615543</v>
      </c>
      <c r="G242" t="s">
        <v>1131</v>
      </c>
      <c r="H242" t="s">
        <v>1133</v>
      </c>
    </row>
    <row r="243" spans="1:8" x14ac:dyDescent="0.25">
      <c r="A243" t="s">
        <v>72</v>
      </c>
      <c r="B243" t="s">
        <v>349</v>
      </c>
      <c r="C243" t="s">
        <v>1115</v>
      </c>
      <c r="D243" t="s">
        <v>1119</v>
      </c>
      <c r="E243">
        <v>51.88</v>
      </c>
      <c r="F243">
        <v>572395</v>
      </c>
      <c r="G243" t="s">
        <v>1131</v>
      </c>
      <c r="H243" t="s">
        <v>1133</v>
      </c>
    </row>
    <row r="244" spans="1:8" x14ac:dyDescent="0.25">
      <c r="A244" t="s">
        <v>32</v>
      </c>
      <c r="B244" t="s">
        <v>350</v>
      </c>
      <c r="C244" t="s">
        <v>1114</v>
      </c>
      <c r="D244" t="s">
        <v>1120</v>
      </c>
      <c r="E244">
        <v>83.48</v>
      </c>
      <c r="F244">
        <v>212661</v>
      </c>
      <c r="G244" t="s">
        <v>1128</v>
      </c>
      <c r="H244" t="s">
        <v>1134</v>
      </c>
    </row>
    <row r="245" spans="1:8" x14ac:dyDescent="0.25">
      <c r="A245" t="s">
        <v>30</v>
      </c>
      <c r="B245" t="s">
        <v>351</v>
      </c>
      <c r="C245" t="s">
        <v>1117</v>
      </c>
      <c r="D245" t="s">
        <v>1119</v>
      </c>
      <c r="E245">
        <v>35.630000000000003</v>
      </c>
      <c r="F245">
        <v>505131</v>
      </c>
      <c r="G245" t="s">
        <v>1132</v>
      </c>
      <c r="H245" t="s">
        <v>1133</v>
      </c>
    </row>
    <row r="246" spans="1:8" x14ac:dyDescent="0.25">
      <c r="A246" t="s">
        <v>60</v>
      </c>
      <c r="B246" t="s">
        <v>352</v>
      </c>
      <c r="C246" t="s">
        <v>1116</v>
      </c>
      <c r="D246" t="s">
        <v>1125</v>
      </c>
      <c r="E246">
        <v>81.739999999999995</v>
      </c>
      <c r="F246">
        <v>824812</v>
      </c>
      <c r="G246" t="s">
        <v>1130</v>
      </c>
      <c r="H246" t="s">
        <v>1133</v>
      </c>
    </row>
    <row r="247" spans="1:8" x14ac:dyDescent="0.25">
      <c r="A247" t="s">
        <v>52</v>
      </c>
      <c r="B247" t="s">
        <v>353</v>
      </c>
      <c r="C247" t="s">
        <v>1109</v>
      </c>
      <c r="D247" t="s">
        <v>1123</v>
      </c>
      <c r="E247">
        <v>94.42</v>
      </c>
      <c r="F247">
        <v>763998</v>
      </c>
      <c r="G247" t="s">
        <v>1128</v>
      </c>
      <c r="H247" t="s">
        <v>1133</v>
      </c>
    </row>
    <row r="248" spans="1:8" x14ac:dyDescent="0.25">
      <c r="A248" t="s">
        <v>58</v>
      </c>
      <c r="B248" t="s">
        <v>354</v>
      </c>
      <c r="C248" t="s">
        <v>1111</v>
      </c>
      <c r="D248" t="s">
        <v>1127</v>
      </c>
      <c r="E248">
        <v>78.87</v>
      </c>
      <c r="F248">
        <v>623111</v>
      </c>
      <c r="G248" t="s">
        <v>1132</v>
      </c>
      <c r="H248" t="s">
        <v>1133</v>
      </c>
    </row>
    <row r="249" spans="1:8" x14ac:dyDescent="0.25">
      <c r="A249" t="s">
        <v>29</v>
      </c>
      <c r="B249" t="s">
        <v>355</v>
      </c>
      <c r="C249" t="s">
        <v>1113</v>
      </c>
      <c r="D249" t="s">
        <v>1120</v>
      </c>
      <c r="E249">
        <v>62.32</v>
      </c>
      <c r="F249">
        <v>907166</v>
      </c>
      <c r="G249" t="s">
        <v>1128</v>
      </c>
      <c r="H249" t="s">
        <v>1133</v>
      </c>
    </row>
    <row r="250" spans="1:8" x14ac:dyDescent="0.25">
      <c r="A250" t="s">
        <v>29</v>
      </c>
      <c r="B250" t="s">
        <v>356</v>
      </c>
      <c r="C250" t="s">
        <v>1109</v>
      </c>
      <c r="D250" t="s">
        <v>1124</v>
      </c>
      <c r="E250">
        <v>67.069999999999993</v>
      </c>
      <c r="F250">
        <v>153897</v>
      </c>
      <c r="G250" t="s">
        <v>1128</v>
      </c>
      <c r="H250" t="s">
        <v>1133</v>
      </c>
    </row>
    <row r="251" spans="1:8" x14ac:dyDescent="0.25">
      <c r="A251" t="s">
        <v>33</v>
      </c>
      <c r="B251" t="s">
        <v>357</v>
      </c>
      <c r="C251" t="s">
        <v>1114</v>
      </c>
      <c r="D251" t="s">
        <v>1121</v>
      </c>
      <c r="E251">
        <v>99.55</v>
      </c>
      <c r="F251">
        <v>890976</v>
      </c>
      <c r="G251" t="s">
        <v>1132</v>
      </c>
      <c r="H251" t="s">
        <v>1133</v>
      </c>
    </row>
    <row r="252" spans="1:8" x14ac:dyDescent="0.25">
      <c r="A252" t="s">
        <v>93</v>
      </c>
      <c r="B252" t="s">
        <v>358</v>
      </c>
      <c r="C252" t="s">
        <v>1114</v>
      </c>
      <c r="D252" t="s">
        <v>1126</v>
      </c>
      <c r="E252">
        <v>42.61</v>
      </c>
      <c r="F252">
        <v>651103</v>
      </c>
      <c r="G252" t="s">
        <v>1131</v>
      </c>
      <c r="H252" t="s">
        <v>1134</v>
      </c>
    </row>
    <row r="253" spans="1:8" x14ac:dyDescent="0.25">
      <c r="A253" t="s">
        <v>16</v>
      </c>
      <c r="B253" t="s">
        <v>359</v>
      </c>
      <c r="C253" t="s">
        <v>1111</v>
      </c>
      <c r="D253" t="s">
        <v>1119</v>
      </c>
      <c r="E253">
        <v>48.8</v>
      </c>
      <c r="F253">
        <v>754323</v>
      </c>
      <c r="G253" t="s">
        <v>1131</v>
      </c>
      <c r="H253" t="s">
        <v>1133</v>
      </c>
    </row>
    <row r="254" spans="1:8" x14ac:dyDescent="0.25">
      <c r="A254" t="s">
        <v>92</v>
      </c>
      <c r="B254" t="s">
        <v>360</v>
      </c>
      <c r="C254" t="s">
        <v>1115</v>
      </c>
      <c r="D254" t="s">
        <v>1123</v>
      </c>
      <c r="E254">
        <v>80.739999999999995</v>
      </c>
      <c r="F254">
        <v>870323</v>
      </c>
      <c r="G254" t="s">
        <v>1129</v>
      </c>
      <c r="H254" t="s">
        <v>1134</v>
      </c>
    </row>
    <row r="255" spans="1:8" x14ac:dyDescent="0.25">
      <c r="A255" t="s">
        <v>57</v>
      </c>
      <c r="B255" t="s">
        <v>361</v>
      </c>
      <c r="C255" t="s">
        <v>1116</v>
      </c>
      <c r="D255" t="s">
        <v>1120</v>
      </c>
      <c r="E255">
        <v>91.15</v>
      </c>
      <c r="F255">
        <v>558812</v>
      </c>
      <c r="G255" t="s">
        <v>1130</v>
      </c>
      <c r="H255" t="s">
        <v>1133</v>
      </c>
    </row>
    <row r="256" spans="1:8" x14ac:dyDescent="0.25">
      <c r="A256" t="s">
        <v>17</v>
      </c>
      <c r="B256" t="s">
        <v>362</v>
      </c>
      <c r="C256" t="s">
        <v>1108</v>
      </c>
      <c r="D256" t="s">
        <v>1125</v>
      </c>
      <c r="E256">
        <v>84.7</v>
      </c>
      <c r="F256">
        <v>294071</v>
      </c>
      <c r="G256" t="s">
        <v>1130</v>
      </c>
      <c r="H256" t="s">
        <v>1133</v>
      </c>
    </row>
    <row r="257" spans="1:8" x14ac:dyDescent="0.25">
      <c r="A257" t="s">
        <v>17</v>
      </c>
      <c r="B257" t="s">
        <v>363</v>
      </c>
      <c r="C257" t="s">
        <v>1112</v>
      </c>
      <c r="D257" t="s">
        <v>1120</v>
      </c>
      <c r="E257">
        <v>62.05</v>
      </c>
      <c r="F257">
        <v>958906</v>
      </c>
      <c r="G257" t="s">
        <v>1128</v>
      </c>
      <c r="H257" t="s">
        <v>1134</v>
      </c>
    </row>
    <row r="258" spans="1:8" x14ac:dyDescent="0.25">
      <c r="A258" t="s">
        <v>56</v>
      </c>
      <c r="B258" t="s">
        <v>364</v>
      </c>
      <c r="C258" t="s">
        <v>1111</v>
      </c>
      <c r="D258" t="s">
        <v>1124</v>
      </c>
      <c r="E258">
        <v>41.19</v>
      </c>
      <c r="F258">
        <v>365899</v>
      </c>
      <c r="G258" t="s">
        <v>1129</v>
      </c>
      <c r="H258" t="s">
        <v>1133</v>
      </c>
    </row>
    <row r="259" spans="1:8" x14ac:dyDescent="0.25">
      <c r="A259" t="s">
        <v>31</v>
      </c>
      <c r="B259" t="s">
        <v>365</v>
      </c>
      <c r="C259" t="s">
        <v>1112</v>
      </c>
      <c r="D259" t="s">
        <v>1121</v>
      </c>
      <c r="E259">
        <v>42.27</v>
      </c>
      <c r="F259">
        <v>599012</v>
      </c>
      <c r="G259" t="s">
        <v>1132</v>
      </c>
      <c r="H259" t="s">
        <v>1133</v>
      </c>
    </row>
    <row r="260" spans="1:8" x14ac:dyDescent="0.25">
      <c r="A260" t="s">
        <v>94</v>
      </c>
      <c r="B260" t="s">
        <v>366</v>
      </c>
      <c r="C260" t="s">
        <v>1115</v>
      </c>
      <c r="D260" t="s">
        <v>1125</v>
      </c>
      <c r="E260">
        <v>56.93</v>
      </c>
      <c r="F260">
        <v>736457</v>
      </c>
      <c r="G260" t="s">
        <v>1130</v>
      </c>
      <c r="H260" t="s">
        <v>1133</v>
      </c>
    </row>
    <row r="261" spans="1:8" x14ac:dyDescent="0.25">
      <c r="A261" t="s">
        <v>28</v>
      </c>
      <c r="B261" t="s">
        <v>367</v>
      </c>
      <c r="C261" t="s">
        <v>1115</v>
      </c>
      <c r="D261" t="s">
        <v>1127</v>
      </c>
      <c r="E261">
        <v>42.83</v>
      </c>
      <c r="F261">
        <v>441315</v>
      </c>
      <c r="G261" t="s">
        <v>1131</v>
      </c>
      <c r="H261" t="s">
        <v>1134</v>
      </c>
    </row>
    <row r="262" spans="1:8" x14ac:dyDescent="0.25">
      <c r="A262" t="s">
        <v>95</v>
      </c>
      <c r="B262" t="s">
        <v>368</v>
      </c>
      <c r="C262" t="s">
        <v>1116</v>
      </c>
      <c r="D262" t="s">
        <v>1126</v>
      </c>
      <c r="E262">
        <v>82.59</v>
      </c>
      <c r="F262">
        <v>622282</v>
      </c>
      <c r="G262" t="s">
        <v>1131</v>
      </c>
      <c r="H262" t="s">
        <v>1133</v>
      </c>
    </row>
    <row r="263" spans="1:8" x14ac:dyDescent="0.25">
      <c r="A263" t="s">
        <v>75</v>
      </c>
      <c r="B263" t="s">
        <v>369</v>
      </c>
      <c r="C263" t="s">
        <v>1116</v>
      </c>
      <c r="D263" t="s">
        <v>1121</v>
      </c>
      <c r="E263">
        <v>62.54</v>
      </c>
      <c r="F263">
        <v>536088</v>
      </c>
      <c r="G263" t="s">
        <v>1132</v>
      </c>
      <c r="H263" t="s">
        <v>1133</v>
      </c>
    </row>
    <row r="264" spans="1:8" x14ac:dyDescent="0.25">
      <c r="A264" t="s">
        <v>25</v>
      </c>
      <c r="B264" t="s">
        <v>370</v>
      </c>
      <c r="C264" t="s">
        <v>1114</v>
      </c>
      <c r="D264" t="s">
        <v>1123</v>
      </c>
      <c r="E264">
        <v>52.9</v>
      </c>
      <c r="F264">
        <v>198312</v>
      </c>
      <c r="G264" t="s">
        <v>1131</v>
      </c>
      <c r="H264" t="s">
        <v>1134</v>
      </c>
    </row>
    <row r="265" spans="1:8" x14ac:dyDescent="0.25">
      <c r="A265" t="s">
        <v>91</v>
      </c>
      <c r="B265" t="s">
        <v>371</v>
      </c>
      <c r="C265" t="s">
        <v>1117</v>
      </c>
      <c r="D265" t="s">
        <v>1124</v>
      </c>
      <c r="E265">
        <v>75.58</v>
      </c>
      <c r="F265">
        <v>864858</v>
      </c>
      <c r="G265" t="s">
        <v>1130</v>
      </c>
      <c r="H265" t="s">
        <v>1134</v>
      </c>
    </row>
    <row r="266" spans="1:8" x14ac:dyDescent="0.25">
      <c r="A266" t="s">
        <v>21</v>
      </c>
      <c r="B266" t="s">
        <v>372</v>
      </c>
      <c r="C266" t="s">
        <v>1112</v>
      </c>
      <c r="D266" t="s">
        <v>1127</v>
      </c>
      <c r="E266">
        <v>35.15</v>
      </c>
      <c r="F266">
        <v>841057</v>
      </c>
      <c r="G266" t="s">
        <v>1131</v>
      </c>
      <c r="H266" t="s">
        <v>1133</v>
      </c>
    </row>
    <row r="267" spans="1:8" x14ac:dyDescent="0.25">
      <c r="A267" t="s">
        <v>90</v>
      </c>
      <c r="B267" t="s">
        <v>373</v>
      </c>
      <c r="C267" t="s">
        <v>1117</v>
      </c>
      <c r="D267" t="s">
        <v>1119</v>
      </c>
      <c r="E267">
        <v>78.89</v>
      </c>
      <c r="F267">
        <v>635499</v>
      </c>
      <c r="G267" t="s">
        <v>1131</v>
      </c>
      <c r="H267" t="s">
        <v>1133</v>
      </c>
    </row>
    <row r="268" spans="1:8" x14ac:dyDescent="0.25">
      <c r="A268" t="s">
        <v>90</v>
      </c>
      <c r="B268" t="s">
        <v>374</v>
      </c>
      <c r="C268" t="s">
        <v>1116</v>
      </c>
      <c r="D268" t="s">
        <v>1126</v>
      </c>
      <c r="E268">
        <v>48.29</v>
      </c>
      <c r="F268">
        <v>516400</v>
      </c>
      <c r="G268" t="s">
        <v>1132</v>
      </c>
      <c r="H268" t="s">
        <v>1133</v>
      </c>
    </row>
    <row r="269" spans="1:8" x14ac:dyDescent="0.25">
      <c r="A269" t="s">
        <v>34</v>
      </c>
      <c r="B269" t="s">
        <v>375</v>
      </c>
      <c r="C269" t="s">
        <v>1112</v>
      </c>
      <c r="D269" t="s">
        <v>1122</v>
      </c>
      <c r="E269">
        <v>59.61</v>
      </c>
      <c r="F269">
        <v>221154</v>
      </c>
      <c r="G269" t="s">
        <v>1132</v>
      </c>
      <c r="H269" t="s">
        <v>1133</v>
      </c>
    </row>
    <row r="270" spans="1:8" x14ac:dyDescent="0.25">
      <c r="A270" t="s">
        <v>74</v>
      </c>
      <c r="B270" t="s">
        <v>376</v>
      </c>
      <c r="C270" t="s">
        <v>1114</v>
      </c>
      <c r="D270" t="s">
        <v>1127</v>
      </c>
      <c r="E270">
        <v>48.25</v>
      </c>
      <c r="F270">
        <v>424014</v>
      </c>
      <c r="G270" t="s">
        <v>1130</v>
      </c>
      <c r="H270" t="s">
        <v>1133</v>
      </c>
    </row>
    <row r="271" spans="1:8" x14ac:dyDescent="0.25">
      <c r="A271" t="s">
        <v>21</v>
      </c>
      <c r="B271" t="s">
        <v>377</v>
      </c>
      <c r="C271" t="s">
        <v>1117</v>
      </c>
      <c r="D271" t="s">
        <v>1125</v>
      </c>
      <c r="E271">
        <v>82.38</v>
      </c>
      <c r="F271">
        <v>181976</v>
      </c>
      <c r="G271" t="s">
        <v>1132</v>
      </c>
      <c r="H271" t="s">
        <v>1133</v>
      </c>
    </row>
    <row r="272" spans="1:8" x14ac:dyDescent="0.25">
      <c r="A272" t="s">
        <v>16</v>
      </c>
      <c r="B272" t="s">
        <v>378</v>
      </c>
      <c r="C272" t="s">
        <v>1111</v>
      </c>
      <c r="D272" t="s">
        <v>1127</v>
      </c>
      <c r="E272">
        <v>68.52</v>
      </c>
      <c r="F272">
        <v>646820</v>
      </c>
      <c r="G272" t="s">
        <v>1131</v>
      </c>
      <c r="H272" t="s">
        <v>1134</v>
      </c>
    </row>
    <row r="273" spans="1:8" x14ac:dyDescent="0.25">
      <c r="A273" t="s">
        <v>72</v>
      </c>
      <c r="B273" t="s">
        <v>379</v>
      </c>
      <c r="C273" t="s">
        <v>1110</v>
      </c>
      <c r="D273" t="s">
        <v>1123</v>
      </c>
      <c r="E273">
        <v>55.29</v>
      </c>
      <c r="F273">
        <v>684458</v>
      </c>
      <c r="G273" t="s">
        <v>1131</v>
      </c>
      <c r="H273" t="s">
        <v>1133</v>
      </c>
    </row>
    <row r="274" spans="1:8" x14ac:dyDescent="0.25">
      <c r="A274" t="s">
        <v>85</v>
      </c>
      <c r="B274" t="s">
        <v>380</v>
      </c>
      <c r="C274" t="s">
        <v>1115</v>
      </c>
      <c r="D274" t="s">
        <v>1125</v>
      </c>
      <c r="E274">
        <v>41.38</v>
      </c>
      <c r="F274">
        <v>455590</v>
      </c>
      <c r="G274" t="s">
        <v>1132</v>
      </c>
      <c r="H274" t="s">
        <v>1133</v>
      </c>
    </row>
    <row r="275" spans="1:8" x14ac:dyDescent="0.25">
      <c r="A275" t="s">
        <v>37</v>
      </c>
      <c r="B275" t="s">
        <v>381</v>
      </c>
      <c r="C275" t="s">
        <v>1113</v>
      </c>
      <c r="D275" t="s">
        <v>1127</v>
      </c>
      <c r="E275">
        <v>62.23</v>
      </c>
      <c r="F275">
        <v>747501</v>
      </c>
      <c r="G275" t="s">
        <v>1132</v>
      </c>
      <c r="H275" t="s">
        <v>1133</v>
      </c>
    </row>
    <row r="276" spans="1:8" x14ac:dyDescent="0.25">
      <c r="A276" t="s">
        <v>67</v>
      </c>
      <c r="B276" t="s">
        <v>382</v>
      </c>
      <c r="C276" t="s">
        <v>1112</v>
      </c>
      <c r="D276" t="s">
        <v>1120</v>
      </c>
      <c r="E276">
        <v>86.26</v>
      </c>
      <c r="F276">
        <v>304757</v>
      </c>
      <c r="G276" t="s">
        <v>1131</v>
      </c>
      <c r="H276" t="s">
        <v>1133</v>
      </c>
    </row>
    <row r="277" spans="1:8" x14ac:dyDescent="0.25">
      <c r="A277" t="s">
        <v>32</v>
      </c>
      <c r="B277" t="s">
        <v>383</v>
      </c>
      <c r="C277" t="s">
        <v>1117</v>
      </c>
      <c r="D277" t="s">
        <v>1118</v>
      </c>
      <c r="E277">
        <v>91.93</v>
      </c>
      <c r="F277">
        <v>128471</v>
      </c>
      <c r="G277" t="s">
        <v>1131</v>
      </c>
      <c r="H277" t="s">
        <v>1133</v>
      </c>
    </row>
    <row r="278" spans="1:8" x14ac:dyDescent="0.25">
      <c r="A278" t="s">
        <v>10</v>
      </c>
      <c r="B278" t="s">
        <v>384</v>
      </c>
      <c r="C278" t="s">
        <v>1111</v>
      </c>
      <c r="D278" t="s">
        <v>1122</v>
      </c>
      <c r="E278">
        <v>67.77</v>
      </c>
      <c r="F278">
        <v>278335</v>
      </c>
      <c r="G278" t="s">
        <v>1128</v>
      </c>
      <c r="H278" t="s">
        <v>1133</v>
      </c>
    </row>
    <row r="279" spans="1:8" x14ac:dyDescent="0.25">
      <c r="A279" t="s">
        <v>63</v>
      </c>
      <c r="B279" t="s">
        <v>385</v>
      </c>
      <c r="C279" t="s">
        <v>1108</v>
      </c>
      <c r="D279" t="s">
        <v>1123</v>
      </c>
      <c r="E279">
        <v>52.71</v>
      </c>
      <c r="F279">
        <v>219249</v>
      </c>
      <c r="G279" t="s">
        <v>1128</v>
      </c>
      <c r="H279" t="s">
        <v>1133</v>
      </c>
    </row>
    <row r="280" spans="1:8" x14ac:dyDescent="0.25">
      <c r="A280" t="s">
        <v>37</v>
      </c>
      <c r="B280" t="s">
        <v>386</v>
      </c>
      <c r="C280" t="s">
        <v>1111</v>
      </c>
      <c r="D280" t="s">
        <v>1124</v>
      </c>
      <c r="E280">
        <v>93.45</v>
      </c>
      <c r="F280">
        <v>942924</v>
      </c>
      <c r="G280" t="s">
        <v>1131</v>
      </c>
      <c r="H280" t="s">
        <v>1133</v>
      </c>
    </row>
    <row r="281" spans="1:8" x14ac:dyDescent="0.25">
      <c r="A281" t="s">
        <v>64</v>
      </c>
      <c r="B281" t="s">
        <v>387</v>
      </c>
      <c r="C281" t="s">
        <v>1115</v>
      </c>
      <c r="D281" t="s">
        <v>1119</v>
      </c>
      <c r="E281">
        <v>87.97</v>
      </c>
      <c r="F281">
        <v>477075</v>
      </c>
      <c r="G281" t="s">
        <v>1130</v>
      </c>
      <c r="H281" t="s">
        <v>1133</v>
      </c>
    </row>
    <row r="282" spans="1:8" x14ac:dyDescent="0.25">
      <c r="A282" t="s">
        <v>71</v>
      </c>
      <c r="B282" t="s">
        <v>388</v>
      </c>
      <c r="C282" t="s">
        <v>1110</v>
      </c>
      <c r="D282" t="s">
        <v>1122</v>
      </c>
      <c r="E282">
        <v>91.49</v>
      </c>
      <c r="F282">
        <v>558798</v>
      </c>
      <c r="G282" t="s">
        <v>1130</v>
      </c>
      <c r="H282" t="s">
        <v>1133</v>
      </c>
    </row>
    <row r="283" spans="1:8" x14ac:dyDescent="0.25">
      <c r="A283" t="s">
        <v>25</v>
      </c>
      <c r="B283" t="s">
        <v>389</v>
      </c>
      <c r="C283" t="s">
        <v>1108</v>
      </c>
      <c r="D283" t="s">
        <v>1119</v>
      </c>
      <c r="E283">
        <v>82.03</v>
      </c>
      <c r="F283">
        <v>889117</v>
      </c>
      <c r="G283" t="s">
        <v>1128</v>
      </c>
      <c r="H283" t="s">
        <v>1133</v>
      </c>
    </row>
    <row r="284" spans="1:8" x14ac:dyDescent="0.25">
      <c r="A284" t="s">
        <v>96</v>
      </c>
      <c r="B284" t="s">
        <v>390</v>
      </c>
      <c r="C284" t="s">
        <v>1112</v>
      </c>
      <c r="D284" t="s">
        <v>1123</v>
      </c>
      <c r="E284">
        <v>91.2</v>
      </c>
      <c r="F284">
        <v>420522</v>
      </c>
      <c r="G284" t="s">
        <v>1130</v>
      </c>
      <c r="H284" t="s">
        <v>1133</v>
      </c>
    </row>
    <row r="285" spans="1:8" x14ac:dyDescent="0.25">
      <c r="A285" t="s">
        <v>97</v>
      </c>
      <c r="B285" t="s">
        <v>391</v>
      </c>
      <c r="C285" t="s">
        <v>1110</v>
      </c>
      <c r="D285" t="s">
        <v>1123</v>
      </c>
      <c r="E285">
        <v>59.89</v>
      </c>
      <c r="F285">
        <v>655849</v>
      </c>
      <c r="G285" t="s">
        <v>1131</v>
      </c>
      <c r="H285" t="s">
        <v>1134</v>
      </c>
    </row>
    <row r="286" spans="1:8" x14ac:dyDescent="0.25">
      <c r="A286" t="s">
        <v>98</v>
      </c>
      <c r="B286" t="s">
        <v>392</v>
      </c>
      <c r="C286" t="s">
        <v>1111</v>
      </c>
      <c r="D286" t="s">
        <v>1127</v>
      </c>
      <c r="E286">
        <v>58.11</v>
      </c>
      <c r="F286">
        <v>649155</v>
      </c>
      <c r="G286" t="s">
        <v>1131</v>
      </c>
      <c r="H286" t="s">
        <v>1133</v>
      </c>
    </row>
    <row r="287" spans="1:8" x14ac:dyDescent="0.25">
      <c r="A287" t="s">
        <v>89</v>
      </c>
      <c r="B287" t="s">
        <v>393</v>
      </c>
      <c r="C287" t="s">
        <v>1113</v>
      </c>
      <c r="D287" t="s">
        <v>1123</v>
      </c>
      <c r="E287">
        <v>59.03</v>
      </c>
      <c r="F287">
        <v>371932</v>
      </c>
      <c r="G287" t="s">
        <v>1129</v>
      </c>
      <c r="H287" t="s">
        <v>1133</v>
      </c>
    </row>
    <row r="288" spans="1:8" x14ac:dyDescent="0.25">
      <c r="A288" t="s">
        <v>74</v>
      </c>
      <c r="B288" t="s">
        <v>394</v>
      </c>
      <c r="C288" t="s">
        <v>1110</v>
      </c>
      <c r="D288" t="s">
        <v>1126</v>
      </c>
      <c r="E288">
        <v>35.770000000000003</v>
      </c>
      <c r="F288">
        <v>657696</v>
      </c>
      <c r="G288" t="s">
        <v>1131</v>
      </c>
      <c r="H288" t="s">
        <v>1134</v>
      </c>
    </row>
    <row r="289" spans="1:8" x14ac:dyDescent="0.25">
      <c r="A289" t="s">
        <v>97</v>
      </c>
      <c r="B289" t="s">
        <v>395</v>
      </c>
      <c r="C289" t="s">
        <v>1113</v>
      </c>
      <c r="D289" t="s">
        <v>1119</v>
      </c>
      <c r="E289">
        <v>36.32</v>
      </c>
      <c r="F289">
        <v>264149</v>
      </c>
      <c r="G289" t="s">
        <v>1131</v>
      </c>
      <c r="H289" t="s">
        <v>1133</v>
      </c>
    </row>
    <row r="290" spans="1:8" x14ac:dyDescent="0.25">
      <c r="A290" t="s">
        <v>23</v>
      </c>
      <c r="B290" t="s">
        <v>396</v>
      </c>
      <c r="C290" t="s">
        <v>1108</v>
      </c>
      <c r="D290" t="s">
        <v>1118</v>
      </c>
      <c r="E290">
        <v>45.35</v>
      </c>
      <c r="F290">
        <v>289082</v>
      </c>
      <c r="G290" t="s">
        <v>1132</v>
      </c>
      <c r="H290" t="s">
        <v>1133</v>
      </c>
    </row>
    <row r="291" spans="1:8" x14ac:dyDescent="0.25">
      <c r="A291" t="s">
        <v>69</v>
      </c>
      <c r="B291" t="s">
        <v>397</v>
      </c>
      <c r="C291" t="s">
        <v>1115</v>
      </c>
      <c r="D291" t="s">
        <v>1126</v>
      </c>
      <c r="E291">
        <v>62.5</v>
      </c>
      <c r="F291">
        <v>658514</v>
      </c>
      <c r="G291" t="s">
        <v>1130</v>
      </c>
      <c r="H291" t="s">
        <v>1133</v>
      </c>
    </row>
    <row r="292" spans="1:8" x14ac:dyDescent="0.25">
      <c r="A292" t="s">
        <v>47</v>
      </c>
      <c r="B292" t="s">
        <v>398</v>
      </c>
      <c r="C292" t="s">
        <v>1112</v>
      </c>
      <c r="D292" t="s">
        <v>1126</v>
      </c>
      <c r="E292">
        <v>49.96</v>
      </c>
      <c r="F292">
        <v>743999</v>
      </c>
      <c r="G292" t="s">
        <v>1130</v>
      </c>
      <c r="H292" t="s">
        <v>1133</v>
      </c>
    </row>
    <row r="293" spans="1:8" x14ac:dyDescent="0.25">
      <c r="A293" t="s">
        <v>37</v>
      </c>
      <c r="B293" t="s">
        <v>399</v>
      </c>
      <c r="C293" t="s">
        <v>1110</v>
      </c>
      <c r="D293" t="s">
        <v>1118</v>
      </c>
      <c r="E293">
        <v>55.62</v>
      </c>
      <c r="F293">
        <v>693631</v>
      </c>
      <c r="G293" t="s">
        <v>1132</v>
      </c>
      <c r="H293" t="s">
        <v>1133</v>
      </c>
    </row>
    <row r="294" spans="1:8" x14ac:dyDescent="0.25">
      <c r="A294" t="s">
        <v>69</v>
      </c>
      <c r="B294" t="s">
        <v>400</v>
      </c>
      <c r="C294" t="s">
        <v>1114</v>
      </c>
      <c r="D294" t="s">
        <v>1122</v>
      </c>
      <c r="E294">
        <v>82.14</v>
      </c>
      <c r="F294">
        <v>762198</v>
      </c>
      <c r="G294" t="s">
        <v>1128</v>
      </c>
      <c r="H294" t="s">
        <v>1134</v>
      </c>
    </row>
    <row r="295" spans="1:8" x14ac:dyDescent="0.25">
      <c r="A295" t="s">
        <v>80</v>
      </c>
      <c r="B295" t="s">
        <v>401</v>
      </c>
      <c r="C295" t="s">
        <v>1110</v>
      </c>
      <c r="D295" t="s">
        <v>1122</v>
      </c>
      <c r="E295">
        <v>92.24</v>
      </c>
      <c r="F295">
        <v>363861</v>
      </c>
      <c r="G295" t="s">
        <v>1130</v>
      </c>
      <c r="H295" t="s">
        <v>1133</v>
      </c>
    </row>
    <row r="296" spans="1:8" x14ac:dyDescent="0.25">
      <c r="A296" t="s">
        <v>98</v>
      </c>
      <c r="B296" t="s">
        <v>402</v>
      </c>
      <c r="C296" t="s">
        <v>1111</v>
      </c>
      <c r="D296" t="s">
        <v>1123</v>
      </c>
      <c r="E296">
        <v>46.57</v>
      </c>
      <c r="F296">
        <v>132678</v>
      </c>
      <c r="G296" t="s">
        <v>1131</v>
      </c>
      <c r="H296" t="s">
        <v>1133</v>
      </c>
    </row>
    <row r="297" spans="1:8" x14ac:dyDescent="0.25">
      <c r="A297" t="s">
        <v>41</v>
      </c>
      <c r="B297" t="s">
        <v>403</v>
      </c>
      <c r="C297" t="s">
        <v>1113</v>
      </c>
      <c r="D297" t="s">
        <v>1126</v>
      </c>
      <c r="E297">
        <v>97.39</v>
      </c>
      <c r="F297">
        <v>698152</v>
      </c>
      <c r="G297" t="s">
        <v>1131</v>
      </c>
      <c r="H297" t="s">
        <v>1133</v>
      </c>
    </row>
    <row r="298" spans="1:8" x14ac:dyDescent="0.25">
      <c r="A298" t="s">
        <v>88</v>
      </c>
      <c r="B298" t="s">
        <v>404</v>
      </c>
      <c r="C298" t="s">
        <v>1108</v>
      </c>
      <c r="D298" t="s">
        <v>1123</v>
      </c>
      <c r="E298">
        <v>62.61</v>
      </c>
      <c r="F298">
        <v>490273</v>
      </c>
      <c r="G298" t="s">
        <v>1132</v>
      </c>
      <c r="H298" t="s">
        <v>1133</v>
      </c>
    </row>
    <row r="299" spans="1:8" x14ac:dyDescent="0.25">
      <c r="A299" t="s">
        <v>93</v>
      </c>
      <c r="B299" t="s">
        <v>405</v>
      </c>
      <c r="C299" t="s">
        <v>1116</v>
      </c>
      <c r="D299" t="s">
        <v>1123</v>
      </c>
      <c r="E299">
        <v>69.34</v>
      </c>
      <c r="F299">
        <v>689074</v>
      </c>
      <c r="G299" t="s">
        <v>1130</v>
      </c>
      <c r="H299" t="s">
        <v>1134</v>
      </c>
    </row>
    <row r="300" spans="1:8" x14ac:dyDescent="0.25">
      <c r="A300" t="s">
        <v>29</v>
      </c>
      <c r="B300" t="s">
        <v>406</v>
      </c>
      <c r="C300" t="s">
        <v>1113</v>
      </c>
      <c r="D300" t="s">
        <v>1120</v>
      </c>
      <c r="E300">
        <v>80.05</v>
      </c>
      <c r="F300">
        <v>711753</v>
      </c>
      <c r="G300" t="s">
        <v>1132</v>
      </c>
      <c r="H300" t="s">
        <v>1134</v>
      </c>
    </row>
    <row r="301" spans="1:8" x14ac:dyDescent="0.25">
      <c r="A301" t="s">
        <v>22</v>
      </c>
      <c r="B301" t="s">
        <v>407</v>
      </c>
      <c r="C301" t="s">
        <v>1111</v>
      </c>
      <c r="D301" t="s">
        <v>1125</v>
      </c>
      <c r="E301">
        <v>36.54</v>
      </c>
      <c r="F301">
        <v>571168</v>
      </c>
      <c r="G301" t="s">
        <v>1132</v>
      </c>
      <c r="H301" t="s">
        <v>1134</v>
      </c>
    </row>
    <row r="302" spans="1:8" x14ac:dyDescent="0.25">
      <c r="A302" t="s">
        <v>99</v>
      </c>
      <c r="B302" t="s">
        <v>408</v>
      </c>
      <c r="C302" t="s">
        <v>1115</v>
      </c>
      <c r="D302" t="s">
        <v>1122</v>
      </c>
      <c r="E302">
        <v>52.09</v>
      </c>
      <c r="F302">
        <v>416314</v>
      </c>
      <c r="G302" t="s">
        <v>1131</v>
      </c>
      <c r="H302" t="s">
        <v>1133</v>
      </c>
    </row>
    <row r="303" spans="1:8" x14ac:dyDescent="0.25">
      <c r="A303" t="s">
        <v>45</v>
      </c>
      <c r="B303" t="s">
        <v>409</v>
      </c>
      <c r="C303" t="s">
        <v>1108</v>
      </c>
      <c r="D303" t="s">
        <v>1124</v>
      </c>
      <c r="E303">
        <v>99.18</v>
      </c>
      <c r="F303">
        <v>593966</v>
      </c>
      <c r="G303" t="s">
        <v>1128</v>
      </c>
      <c r="H303" t="s">
        <v>1134</v>
      </c>
    </row>
    <row r="304" spans="1:8" x14ac:dyDescent="0.25">
      <c r="A304" t="s">
        <v>41</v>
      </c>
      <c r="B304" t="s">
        <v>410</v>
      </c>
      <c r="C304" t="s">
        <v>1108</v>
      </c>
      <c r="D304" t="s">
        <v>1121</v>
      </c>
      <c r="E304">
        <v>80.760000000000005</v>
      </c>
      <c r="F304">
        <v>980173</v>
      </c>
      <c r="G304" t="s">
        <v>1132</v>
      </c>
      <c r="H304" t="s">
        <v>1133</v>
      </c>
    </row>
    <row r="305" spans="1:8" x14ac:dyDescent="0.25">
      <c r="A305" t="s">
        <v>99</v>
      </c>
      <c r="B305" t="s">
        <v>411</v>
      </c>
      <c r="C305" t="s">
        <v>1109</v>
      </c>
      <c r="D305" t="s">
        <v>1120</v>
      </c>
      <c r="E305">
        <v>74.150000000000006</v>
      </c>
      <c r="F305">
        <v>283700</v>
      </c>
      <c r="G305" t="s">
        <v>1132</v>
      </c>
      <c r="H305" t="s">
        <v>1133</v>
      </c>
    </row>
    <row r="306" spans="1:8" x14ac:dyDescent="0.25">
      <c r="A306" t="s">
        <v>77</v>
      </c>
      <c r="B306" t="s">
        <v>412</v>
      </c>
      <c r="C306" t="s">
        <v>1115</v>
      </c>
      <c r="D306" t="s">
        <v>1120</v>
      </c>
      <c r="E306">
        <v>49.79</v>
      </c>
      <c r="F306">
        <v>986323</v>
      </c>
      <c r="G306" t="s">
        <v>1131</v>
      </c>
      <c r="H306" t="s">
        <v>1133</v>
      </c>
    </row>
    <row r="307" spans="1:8" x14ac:dyDescent="0.25">
      <c r="A307" t="s">
        <v>52</v>
      </c>
      <c r="B307" t="s">
        <v>413</v>
      </c>
      <c r="C307" t="s">
        <v>1108</v>
      </c>
      <c r="D307" t="s">
        <v>1118</v>
      </c>
      <c r="E307">
        <v>41.47</v>
      </c>
      <c r="F307">
        <v>414035</v>
      </c>
      <c r="G307" t="s">
        <v>1131</v>
      </c>
      <c r="H307" t="s">
        <v>1134</v>
      </c>
    </row>
    <row r="308" spans="1:8" x14ac:dyDescent="0.25">
      <c r="A308" t="s">
        <v>47</v>
      </c>
      <c r="B308" t="s">
        <v>414</v>
      </c>
      <c r="C308" t="s">
        <v>1113</v>
      </c>
      <c r="D308" t="s">
        <v>1127</v>
      </c>
      <c r="E308">
        <v>90.77</v>
      </c>
      <c r="F308">
        <v>712717</v>
      </c>
      <c r="G308" t="s">
        <v>1130</v>
      </c>
      <c r="H308" t="s">
        <v>1133</v>
      </c>
    </row>
    <row r="309" spans="1:8" x14ac:dyDescent="0.25">
      <c r="A309" t="s">
        <v>28</v>
      </c>
      <c r="B309" t="s">
        <v>415</v>
      </c>
      <c r="C309" t="s">
        <v>1115</v>
      </c>
      <c r="D309" t="s">
        <v>1122</v>
      </c>
      <c r="E309">
        <v>73.040000000000006</v>
      </c>
      <c r="F309">
        <v>434581</v>
      </c>
      <c r="G309" t="s">
        <v>1132</v>
      </c>
      <c r="H309" t="s">
        <v>1133</v>
      </c>
    </row>
    <row r="310" spans="1:8" x14ac:dyDescent="0.25">
      <c r="A310" t="s">
        <v>27</v>
      </c>
      <c r="B310" t="s">
        <v>416</v>
      </c>
      <c r="C310" t="s">
        <v>1108</v>
      </c>
      <c r="D310" t="s">
        <v>1120</v>
      </c>
      <c r="E310">
        <v>52.87</v>
      </c>
      <c r="F310">
        <v>757027</v>
      </c>
      <c r="G310" t="s">
        <v>1131</v>
      </c>
      <c r="H310" t="s">
        <v>1134</v>
      </c>
    </row>
    <row r="311" spans="1:8" x14ac:dyDescent="0.25">
      <c r="A311" t="s">
        <v>50</v>
      </c>
      <c r="B311" t="s">
        <v>417</v>
      </c>
      <c r="C311" t="s">
        <v>1116</v>
      </c>
      <c r="D311" t="s">
        <v>1120</v>
      </c>
      <c r="E311">
        <v>51.28</v>
      </c>
      <c r="F311">
        <v>199594</v>
      </c>
      <c r="G311" t="s">
        <v>1132</v>
      </c>
      <c r="H311" t="s">
        <v>1133</v>
      </c>
    </row>
    <row r="312" spans="1:8" x14ac:dyDescent="0.25">
      <c r="A312" t="s">
        <v>69</v>
      </c>
      <c r="B312" t="s">
        <v>418</v>
      </c>
      <c r="C312" t="s">
        <v>1110</v>
      </c>
      <c r="D312" t="s">
        <v>1127</v>
      </c>
      <c r="E312">
        <v>72.11</v>
      </c>
      <c r="F312">
        <v>832088</v>
      </c>
      <c r="G312" t="s">
        <v>1129</v>
      </c>
      <c r="H312" t="s">
        <v>1134</v>
      </c>
    </row>
    <row r="313" spans="1:8" x14ac:dyDescent="0.25">
      <c r="A313" t="s">
        <v>81</v>
      </c>
      <c r="B313" t="s">
        <v>419</v>
      </c>
      <c r="C313" t="s">
        <v>1115</v>
      </c>
      <c r="D313" t="s">
        <v>1124</v>
      </c>
      <c r="E313">
        <v>96.73</v>
      </c>
      <c r="F313">
        <v>881181</v>
      </c>
      <c r="G313" t="s">
        <v>1130</v>
      </c>
      <c r="H313" t="s">
        <v>1133</v>
      </c>
    </row>
    <row r="314" spans="1:8" x14ac:dyDescent="0.25">
      <c r="A314" t="s">
        <v>100</v>
      </c>
      <c r="B314" t="s">
        <v>420</v>
      </c>
      <c r="C314" t="s">
        <v>1110</v>
      </c>
      <c r="D314" t="s">
        <v>1127</v>
      </c>
      <c r="E314">
        <v>58.07</v>
      </c>
      <c r="F314">
        <v>670906</v>
      </c>
      <c r="G314" t="s">
        <v>1128</v>
      </c>
      <c r="H314" t="s">
        <v>1133</v>
      </c>
    </row>
    <row r="315" spans="1:8" x14ac:dyDescent="0.25">
      <c r="A315" t="s">
        <v>85</v>
      </c>
      <c r="B315" t="s">
        <v>421</v>
      </c>
      <c r="C315" t="s">
        <v>1109</v>
      </c>
      <c r="D315" t="s">
        <v>1126</v>
      </c>
      <c r="E315">
        <v>54.6</v>
      </c>
      <c r="F315">
        <v>266752</v>
      </c>
      <c r="G315" t="s">
        <v>1130</v>
      </c>
      <c r="H315" t="s">
        <v>1134</v>
      </c>
    </row>
    <row r="316" spans="1:8" x14ac:dyDescent="0.25">
      <c r="A316" t="s">
        <v>75</v>
      </c>
      <c r="B316" t="s">
        <v>422</v>
      </c>
      <c r="C316" t="s">
        <v>1110</v>
      </c>
      <c r="D316" t="s">
        <v>1120</v>
      </c>
      <c r="E316">
        <v>96.48</v>
      </c>
      <c r="F316">
        <v>128482</v>
      </c>
      <c r="G316" t="s">
        <v>1129</v>
      </c>
      <c r="H316" t="s">
        <v>1133</v>
      </c>
    </row>
    <row r="317" spans="1:8" x14ac:dyDescent="0.25">
      <c r="A317" t="s">
        <v>101</v>
      </c>
      <c r="B317" t="s">
        <v>423</v>
      </c>
      <c r="C317" t="s">
        <v>1110</v>
      </c>
      <c r="D317" t="s">
        <v>1119</v>
      </c>
      <c r="E317">
        <v>44.37</v>
      </c>
      <c r="F317">
        <v>500843</v>
      </c>
      <c r="G317" t="s">
        <v>1128</v>
      </c>
      <c r="H317" t="s">
        <v>1133</v>
      </c>
    </row>
    <row r="318" spans="1:8" x14ac:dyDescent="0.25">
      <c r="A318" t="s">
        <v>19</v>
      </c>
      <c r="B318" t="s">
        <v>424</v>
      </c>
      <c r="C318" t="s">
        <v>1109</v>
      </c>
      <c r="D318" t="s">
        <v>1122</v>
      </c>
      <c r="E318">
        <v>75.5</v>
      </c>
      <c r="F318">
        <v>154433</v>
      </c>
      <c r="G318" t="s">
        <v>1128</v>
      </c>
      <c r="H318" t="s">
        <v>1133</v>
      </c>
    </row>
    <row r="319" spans="1:8" x14ac:dyDescent="0.25">
      <c r="A319" t="s">
        <v>21</v>
      </c>
      <c r="B319" t="s">
        <v>425</v>
      </c>
      <c r="C319" t="s">
        <v>1108</v>
      </c>
      <c r="D319" t="s">
        <v>1123</v>
      </c>
      <c r="E319">
        <v>97.61</v>
      </c>
      <c r="F319">
        <v>538531</v>
      </c>
      <c r="G319" t="s">
        <v>1129</v>
      </c>
      <c r="H319" t="s">
        <v>1133</v>
      </c>
    </row>
    <row r="320" spans="1:8" x14ac:dyDescent="0.25">
      <c r="A320" t="s">
        <v>57</v>
      </c>
      <c r="B320" t="s">
        <v>426</v>
      </c>
      <c r="C320" t="s">
        <v>1115</v>
      </c>
      <c r="D320" t="s">
        <v>1120</v>
      </c>
      <c r="E320">
        <v>67.81</v>
      </c>
      <c r="F320">
        <v>844261</v>
      </c>
      <c r="G320" t="s">
        <v>1128</v>
      </c>
      <c r="H320" t="s">
        <v>1133</v>
      </c>
    </row>
    <row r="321" spans="1:8" x14ac:dyDescent="0.25">
      <c r="A321" t="s">
        <v>9</v>
      </c>
      <c r="B321" t="s">
        <v>427</v>
      </c>
      <c r="C321" t="s">
        <v>1109</v>
      </c>
      <c r="D321" t="s">
        <v>1126</v>
      </c>
      <c r="E321">
        <v>56.47</v>
      </c>
      <c r="F321">
        <v>759718</v>
      </c>
      <c r="G321" t="s">
        <v>1130</v>
      </c>
      <c r="H321" t="s">
        <v>1133</v>
      </c>
    </row>
    <row r="322" spans="1:8" x14ac:dyDescent="0.25">
      <c r="A322" t="s">
        <v>41</v>
      </c>
      <c r="B322" t="s">
        <v>428</v>
      </c>
      <c r="C322" t="s">
        <v>1111</v>
      </c>
      <c r="D322" t="s">
        <v>1119</v>
      </c>
      <c r="E322">
        <v>36.46</v>
      </c>
      <c r="F322">
        <v>828328</v>
      </c>
      <c r="G322" t="s">
        <v>1129</v>
      </c>
      <c r="H322" t="s">
        <v>1134</v>
      </c>
    </row>
    <row r="323" spans="1:8" x14ac:dyDescent="0.25">
      <c r="A323" t="s">
        <v>35</v>
      </c>
      <c r="B323" t="s">
        <v>429</v>
      </c>
      <c r="C323" t="s">
        <v>1110</v>
      </c>
      <c r="D323" t="s">
        <v>1126</v>
      </c>
      <c r="E323">
        <v>56.84</v>
      </c>
      <c r="F323">
        <v>371078</v>
      </c>
      <c r="G323" t="s">
        <v>1132</v>
      </c>
      <c r="H323" t="s">
        <v>1133</v>
      </c>
    </row>
    <row r="324" spans="1:8" x14ac:dyDescent="0.25">
      <c r="A324" t="s">
        <v>32</v>
      </c>
      <c r="B324" t="s">
        <v>430</v>
      </c>
      <c r="C324" t="s">
        <v>1112</v>
      </c>
      <c r="D324" t="s">
        <v>1121</v>
      </c>
      <c r="E324">
        <v>82.69</v>
      </c>
      <c r="F324">
        <v>856417</v>
      </c>
      <c r="G324" t="s">
        <v>1132</v>
      </c>
      <c r="H324" t="s">
        <v>1133</v>
      </c>
    </row>
    <row r="325" spans="1:8" x14ac:dyDescent="0.25">
      <c r="A325" t="s">
        <v>100</v>
      </c>
      <c r="B325" t="s">
        <v>431</v>
      </c>
      <c r="C325" t="s">
        <v>1109</v>
      </c>
      <c r="D325" t="s">
        <v>1126</v>
      </c>
      <c r="E325">
        <v>75.62</v>
      </c>
      <c r="F325">
        <v>198553</v>
      </c>
      <c r="G325" t="s">
        <v>1130</v>
      </c>
      <c r="H325" t="s">
        <v>1134</v>
      </c>
    </row>
    <row r="326" spans="1:8" x14ac:dyDescent="0.25">
      <c r="A326" t="s">
        <v>25</v>
      </c>
      <c r="B326" t="s">
        <v>432</v>
      </c>
      <c r="C326" t="s">
        <v>1113</v>
      </c>
      <c r="D326" t="s">
        <v>1125</v>
      </c>
      <c r="E326">
        <v>75.239999999999995</v>
      </c>
      <c r="F326">
        <v>740723</v>
      </c>
      <c r="G326" t="s">
        <v>1128</v>
      </c>
      <c r="H326" t="s">
        <v>1133</v>
      </c>
    </row>
    <row r="327" spans="1:8" x14ac:dyDescent="0.25">
      <c r="A327" t="s">
        <v>43</v>
      </c>
      <c r="B327" t="s">
        <v>433</v>
      </c>
      <c r="C327" t="s">
        <v>1114</v>
      </c>
      <c r="D327" t="s">
        <v>1119</v>
      </c>
      <c r="E327">
        <v>57.18</v>
      </c>
      <c r="F327">
        <v>147215</v>
      </c>
      <c r="G327" t="s">
        <v>1130</v>
      </c>
      <c r="H327" t="s">
        <v>1133</v>
      </c>
    </row>
    <row r="328" spans="1:8" x14ac:dyDescent="0.25">
      <c r="A328" t="s">
        <v>94</v>
      </c>
      <c r="B328" t="s">
        <v>434</v>
      </c>
      <c r="C328" t="s">
        <v>1112</v>
      </c>
      <c r="D328" t="s">
        <v>1127</v>
      </c>
      <c r="E328">
        <v>68.55</v>
      </c>
      <c r="F328">
        <v>834481</v>
      </c>
      <c r="G328" t="s">
        <v>1128</v>
      </c>
      <c r="H328" t="s">
        <v>1133</v>
      </c>
    </row>
    <row r="329" spans="1:8" x14ac:dyDescent="0.25">
      <c r="A329" t="s">
        <v>62</v>
      </c>
      <c r="B329" t="s">
        <v>435</v>
      </c>
      <c r="C329" t="s">
        <v>1109</v>
      </c>
      <c r="D329" t="s">
        <v>1126</v>
      </c>
      <c r="E329">
        <v>65.39</v>
      </c>
      <c r="F329">
        <v>352240</v>
      </c>
      <c r="G329" t="s">
        <v>1128</v>
      </c>
      <c r="H329" t="s">
        <v>1133</v>
      </c>
    </row>
    <row r="330" spans="1:8" x14ac:dyDescent="0.25">
      <c r="A330" t="s">
        <v>49</v>
      </c>
      <c r="B330" t="s">
        <v>436</v>
      </c>
      <c r="C330" t="s">
        <v>1110</v>
      </c>
      <c r="D330" t="s">
        <v>1125</v>
      </c>
      <c r="E330">
        <v>38.58</v>
      </c>
      <c r="F330">
        <v>758312</v>
      </c>
      <c r="G330" t="s">
        <v>1129</v>
      </c>
      <c r="H330" t="s">
        <v>1133</v>
      </c>
    </row>
    <row r="331" spans="1:8" x14ac:dyDescent="0.25">
      <c r="A331" t="s">
        <v>22</v>
      </c>
      <c r="B331" t="s">
        <v>437</v>
      </c>
      <c r="C331" t="s">
        <v>1111</v>
      </c>
      <c r="D331" t="s">
        <v>1124</v>
      </c>
      <c r="E331">
        <v>43.76</v>
      </c>
      <c r="F331">
        <v>223317</v>
      </c>
      <c r="G331" t="s">
        <v>1131</v>
      </c>
      <c r="H331" t="s">
        <v>1134</v>
      </c>
    </row>
    <row r="332" spans="1:8" x14ac:dyDescent="0.25">
      <c r="A332" t="s">
        <v>18</v>
      </c>
      <c r="B332" t="s">
        <v>438</v>
      </c>
      <c r="C332" t="s">
        <v>1111</v>
      </c>
      <c r="D332" t="s">
        <v>1120</v>
      </c>
      <c r="E332">
        <v>35.880000000000003</v>
      </c>
      <c r="F332">
        <v>107967</v>
      </c>
      <c r="G332" t="s">
        <v>1131</v>
      </c>
      <c r="H332" t="s">
        <v>1134</v>
      </c>
    </row>
    <row r="333" spans="1:8" x14ac:dyDescent="0.25">
      <c r="A333" t="s">
        <v>75</v>
      </c>
      <c r="B333" t="s">
        <v>439</v>
      </c>
      <c r="C333" t="s">
        <v>1108</v>
      </c>
      <c r="D333" t="s">
        <v>1119</v>
      </c>
      <c r="E333">
        <v>66.459999999999994</v>
      </c>
      <c r="F333">
        <v>590289</v>
      </c>
      <c r="G333" t="s">
        <v>1128</v>
      </c>
      <c r="H333" t="s">
        <v>1133</v>
      </c>
    </row>
    <row r="334" spans="1:8" x14ac:dyDescent="0.25">
      <c r="A334" t="s">
        <v>42</v>
      </c>
      <c r="B334" t="s">
        <v>440</v>
      </c>
      <c r="C334" t="s">
        <v>1113</v>
      </c>
      <c r="D334" t="s">
        <v>1126</v>
      </c>
      <c r="E334">
        <v>71.73</v>
      </c>
      <c r="F334">
        <v>152982</v>
      </c>
      <c r="G334" t="s">
        <v>1132</v>
      </c>
      <c r="H334" t="s">
        <v>1134</v>
      </c>
    </row>
    <row r="335" spans="1:8" x14ac:dyDescent="0.25">
      <c r="A335" t="s">
        <v>33</v>
      </c>
      <c r="B335" t="s">
        <v>441</v>
      </c>
      <c r="C335" t="s">
        <v>1116</v>
      </c>
      <c r="D335" t="s">
        <v>1124</v>
      </c>
      <c r="E335">
        <v>39.04</v>
      </c>
      <c r="F335">
        <v>830302</v>
      </c>
      <c r="G335" t="s">
        <v>1131</v>
      </c>
      <c r="H335" t="s">
        <v>1133</v>
      </c>
    </row>
    <row r="336" spans="1:8" x14ac:dyDescent="0.25">
      <c r="A336" t="s">
        <v>26</v>
      </c>
      <c r="B336" t="s">
        <v>442</v>
      </c>
      <c r="C336" t="s">
        <v>1115</v>
      </c>
      <c r="D336" t="s">
        <v>1123</v>
      </c>
      <c r="E336">
        <v>39.58</v>
      </c>
      <c r="F336">
        <v>257973</v>
      </c>
      <c r="G336" t="s">
        <v>1128</v>
      </c>
      <c r="H336" t="s">
        <v>1133</v>
      </c>
    </row>
    <row r="337" spans="1:8" x14ac:dyDescent="0.25">
      <c r="A337" t="s">
        <v>39</v>
      </c>
      <c r="B337" t="s">
        <v>443</v>
      </c>
      <c r="C337" t="s">
        <v>1108</v>
      </c>
      <c r="D337" t="s">
        <v>1123</v>
      </c>
      <c r="E337">
        <v>61.87</v>
      </c>
      <c r="F337">
        <v>640100</v>
      </c>
      <c r="G337" t="s">
        <v>1132</v>
      </c>
      <c r="H337" t="s">
        <v>1133</v>
      </c>
    </row>
    <row r="338" spans="1:8" x14ac:dyDescent="0.25">
      <c r="A338" t="s">
        <v>63</v>
      </c>
      <c r="B338" t="s">
        <v>444</v>
      </c>
      <c r="C338" t="s">
        <v>1114</v>
      </c>
      <c r="D338" t="s">
        <v>1123</v>
      </c>
      <c r="E338">
        <v>50.75</v>
      </c>
      <c r="F338">
        <v>805075</v>
      </c>
      <c r="G338" t="s">
        <v>1132</v>
      </c>
      <c r="H338" t="s">
        <v>1133</v>
      </c>
    </row>
    <row r="339" spans="1:8" x14ac:dyDescent="0.25">
      <c r="A339" t="s">
        <v>98</v>
      </c>
      <c r="B339" t="s">
        <v>445</v>
      </c>
      <c r="C339" t="s">
        <v>1111</v>
      </c>
      <c r="D339" t="s">
        <v>1118</v>
      </c>
      <c r="E339">
        <v>98.48</v>
      </c>
      <c r="F339">
        <v>777338</v>
      </c>
      <c r="G339" t="s">
        <v>1128</v>
      </c>
      <c r="H339" t="s">
        <v>1134</v>
      </c>
    </row>
    <row r="340" spans="1:8" x14ac:dyDescent="0.25">
      <c r="A340" t="s">
        <v>81</v>
      </c>
      <c r="B340" t="s">
        <v>446</v>
      </c>
      <c r="C340" t="s">
        <v>1117</v>
      </c>
      <c r="D340" t="s">
        <v>1118</v>
      </c>
      <c r="E340">
        <v>40.94</v>
      </c>
      <c r="F340">
        <v>995399</v>
      </c>
      <c r="G340" t="s">
        <v>1131</v>
      </c>
      <c r="H340" t="s">
        <v>1134</v>
      </c>
    </row>
    <row r="341" spans="1:8" x14ac:dyDescent="0.25">
      <c r="A341" t="s">
        <v>64</v>
      </c>
      <c r="B341" t="s">
        <v>447</v>
      </c>
      <c r="C341" t="s">
        <v>1109</v>
      </c>
      <c r="D341" t="s">
        <v>1127</v>
      </c>
      <c r="E341">
        <v>82.59</v>
      </c>
      <c r="F341">
        <v>660757</v>
      </c>
      <c r="G341" t="s">
        <v>1129</v>
      </c>
      <c r="H341" t="s">
        <v>1134</v>
      </c>
    </row>
    <row r="342" spans="1:8" x14ac:dyDescent="0.25">
      <c r="A342" t="s">
        <v>77</v>
      </c>
      <c r="B342" t="s">
        <v>448</v>
      </c>
      <c r="C342" t="s">
        <v>1113</v>
      </c>
      <c r="D342" t="s">
        <v>1120</v>
      </c>
      <c r="E342">
        <v>56.8</v>
      </c>
      <c r="F342">
        <v>308841</v>
      </c>
      <c r="G342" t="s">
        <v>1129</v>
      </c>
      <c r="H342" t="s">
        <v>1133</v>
      </c>
    </row>
    <row r="343" spans="1:8" x14ac:dyDescent="0.25">
      <c r="A343" t="s">
        <v>10</v>
      </c>
      <c r="B343" t="s">
        <v>449</v>
      </c>
      <c r="C343" t="s">
        <v>1112</v>
      </c>
      <c r="D343" t="s">
        <v>1121</v>
      </c>
      <c r="E343">
        <v>46.33</v>
      </c>
      <c r="F343">
        <v>638698</v>
      </c>
      <c r="G343" t="s">
        <v>1130</v>
      </c>
      <c r="H343" t="s">
        <v>1133</v>
      </c>
    </row>
    <row r="344" spans="1:8" x14ac:dyDescent="0.25">
      <c r="A344" t="s">
        <v>46</v>
      </c>
      <c r="B344" t="s">
        <v>450</v>
      </c>
      <c r="C344" t="s">
        <v>1117</v>
      </c>
      <c r="D344" t="s">
        <v>1118</v>
      </c>
      <c r="E344">
        <v>86.41</v>
      </c>
      <c r="F344">
        <v>498137</v>
      </c>
      <c r="G344" t="s">
        <v>1129</v>
      </c>
      <c r="H344" t="s">
        <v>1133</v>
      </c>
    </row>
    <row r="345" spans="1:8" x14ac:dyDescent="0.25">
      <c r="A345" t="s">
        <v>12</v>
      </c>
      <c r="B345" t="s">
        <v>451</v>
      </c>
      <c r="C345" t="s">
        <v>1111</v>
      </c>
      <c r="D345" t="s">
        <v>1127</v>
      </c>
      <c r="E345">
        <v>81.78</v>
      </c>
      <c r="F345">
        <v>207562</v>
      </c>
      <c r="G345" t="s">
        <v>1129</v>
      </c>
      <c r="H345" t="s">
        <v>1134</v>
      </c>
    </row>
    <row r="346" spans="1:8" x14ac:dyDescent="0.25">
      <c r="A346" t="s">
        <v>62</v>
      </c>
      <c r="B346" t="s">
        <v>452</v>
      </c>
      <c r="C346" t="s">
        <v>1112</v>
      </c>
      <c r="D346" t="s">
        <v>1124</v>
      </c>
      <c r="E346">
        <v>56.67</v>
      </c>
      <c r="F346">
        <v>517617</v>
      </c>
      <c r="G346" t="s">
        <v>1130</v>
      </c>
      <c r="H346" t="s">
        <v>1133</v>
      </c>
    </row>
    <row r="347" spans="1:8" x14ac:dyDescent="0.25">
      <c r="A347" t="s">
        <v>31</v>
      </c>
      <c r="B347" t="s">
        <v>453</v>
      </c>
      <c r="C347" t="s">
        <v>1116</v>
      </c>
      <c r="D347" t="s">
        <v>1124</v>
      </c>
      <c r="E347">
        <v>77.209999999999994</v>
      </c>
      <c r="F347">
        <v>247175</v>
      </c>
      <c r="G347" t="s">
        <v>1130</v>
      </c>
      <c r="H347" t="s">
        <v>1133</v>
      </c>
    </row>
    <row r="348" spans="1:8" x14ac:dyDescent="0.25">
      <c r="A348" t="s">
        <v>52</v>
      </c>
      <c r="B348" t="s">
        <v>454</v>
      </c>
      <c r="C348" t="s">
        <v>1111</v>
      </c>
      <c r="D348" t="s">
        <v>1121</v>
      </c>
      <c r="E348">
        <v>70.209999999999994</v>
      </c>
      <c r="F348">
        <v>878643</v>
      </c>
      <c r="G348" t="s">
        <v>1132</v>
      </c>
      <c r="H348" t="s">
        <v>1133</v>
      </c>
    </row>
    <row r="349" spans="1:8" x14ac:dyDescent="0.25">
      <c r="A349" t="s">
        <v>42</v>
      </c>
      <c r="B349" t="s">
        <v>455</v>
      </c>
      <c r="C349" t="s">
        <v>1111</v>
      </c>
      <c r="D349" t="s">
        <v>1119</v>
      </c>
      <c r="E349">
        <v>77.930000000000007</v>
      </c>
      <c r="F349">
        <v>594087</v>
      </c>
      <c r="G349" t="s">
        <v>1131</v>
      </c>
      <c r="H349" t="s">
        <v>1133</v>
      </c>
    </row>
    <row r="350" spans="1:8" x14ac:dyDescent="0.25">
      <c r="A350" t="s">
        <v>50</v>
      </c>
      <c r="B350" t="s">
        <v>456</v>
      </c>
      <c r="C350" t="s">
        <v>1110</v>
      </c>
      <c r="D350" t="s">
        <v>1119</v>
      </c>
      <c r="E350">
        <v>67.2</v>
      </c>
      <c r="F350">
        <v>963694</v>
      </c>
      <c r="G350" t="s">
        <v>1128</v>
      </c>
      <c r="H350" t="s">
        <v>1134</v>
      </c>
    </row>
    <row r="351" spans="1:8" x14ac:dyDescent="0.25">
      <c r="A351" t="s">
        <v>75</v>
      </c>
      <c r="B351" t="s">
        <v>457</v>
      </c>
      <c r="C351" t="s">
        <v>1110</v>
      </c>
      <c r="D351" t="s">
        <v>1122</v>
      </c>
      <c r="E351">
        <v>63.49</v>
      </c>
      <c r="F351">
        <v>439032</v>
      </c>
      <c r="G351" t="s">
        <v>1128</v>
      </c>
      <c r="H351" t="s">
        <v>1133</v>
      </c>
    </row>
    <row r="352" spans="1:8" x14ac:dyDescent="0.25">
      <c r="A352" t="s">
        <v>58</v>
      </c>
      <c r="B352" t="s">
        <v>458</v>
      </c>
      <c r="C352" t="s">
        <v>1112</v>
      </c>
      <c r="D352" t="s">
        <v>1125</v>
      </c>
      <c r="E352">
        <v>74.39</v>
      </c>
      <c r="F352">
        <v>384038</v>
      </c>
      <c r="G352" t="s">
        <v>1128</v>
      </c>
      <c r="H352" t="s">
        <v>1133</v>
      </c>
    </row>
    <row r="353" spans="1:8" x14ac:dyDescent="0.25">
      <c r="A353" t="s">
        <v>102</v>
      </c>
      <c r="B353" t="s">
        <v>459</v>
      </c>
      <c r="C353" t="s">
        <v>1114</v>
      </c>
      <c r="D353" t="s">
        <v>1122</v>
      </c>
      <c r="E353">
        <v>65.91</v>
      </c>
      <c r="F353">
        <v>405716</v>
      </c>
      <c r="G353" t="s">
        <v>1132</v>
      </c>
      <c r="H353" t="s">
        <v>1133</v>
      </c>
    </row>
    <row r="354" spans="1:8" x14ac:dyDescent="0.25">
      <c r="A354" t="s">
        <v>47</v>
      </c>
      <c r="B354" t="s">
        <v>460</v>
      </c>
      <c r="C354" t="s">
        <v>1110</v>
      </c>
      <c r="D354" t="s">
        <v>1118</v>
      </c>
      <c r="E354">
        <v>66.900000000000006</v>
      </c>
      <c r="F354">
        <v>469864</v>
      </c>
      <c r="G354" t="s">
        <v>1129</v>
      </c>
      <c r="H354" t="s">
        <v>1133</v>
      </c>
    </row>
    <row r="355" spans="1:8" x14ac:dyDescent="0.25">
      <c r="A355" t="s">
        <v>36</v>
      </c>
      <c r="B355" t="s">
        <v>461</v>
      </c>
      <c r="C355" t="s">
        <v>1113</v>
      </c>
      <c r="D355" t="s">
        <v>1123</v>
      </c>
      <c r="E355">
        <v>93.22</v>
      </c>
      <c r="F355">
        <v>447610</v>
      </c>
      <c r="G355" t="s">
        <v>1131</v>
      </c>
      <c r="H355" t="s">
        <v>1133</v>
      </c>
    </row>
    <row r="356" spans="1:8" x14ac:dyDescent="0.25">
      <c r="A356" t="s">
        <v>24</v>
      </c>
      <c r="B356" t="s">
        <v>462</v>
      </c>
      <c r="C356" t="s">
        <v>1109</v>
      </c>
      <c r="D356" t="s">
        <v>1124</v>
      </c>
      <c r="E356">
        <v>47.82</v>
      </c>
      <c r="F356">
        <v>947607</v>
      </c>
      <c r="G356" t="s">
        <v>1128</v>
      </c>
      <c r="H356" t="s">
        <v>1133</v>
      </c>
    </row>
    <row r="357" spans="1:8" x14ac:dyDescent="0.25">
      <c r="A357" t="s">
        <v>58</v>
      </c>
      <c r="B357" t="s">
        <v>463</v>
      </c>
      <c r="C357" t="s">
        <v>1109</v>
      </c>
      <c r="D357" t="s">
        <v>1124</v>
      </c>
      <c r="E357">
        <v>87.91</v>
      </c>
      <c r="F357">
        <v>992628</v>
      </c>
      <c r="G357" t="s">
        <v>1132</v>
      </c>
      <c r="H357" t="s">
        <v>1134</v>
      </c>
    </row>
    <row r="358" spans="1:8" x14ac:dyDescent="0.25">
      <c r="A358" t="s">
        <v>17</v>
      </c>
      <c r="B358" t="s">
        <v>464</v>
      </c>
      <c r="C358" t="s">
        <v>1108</v>
      </c>
      <c r="D358" t="s">
        <v>1124</v>
      </c>
      <c r="E358">
        <v>59.37</v>
      </c>
      <c r="F358">
        <v>888984</v>
      </c>
      <c r="G358" t="s">
        <v>1131</v>
      </c>
      <c r="H358" t="s">
        <v>1134</v>
      </c>
    </row>
    <row r="359" spans="1:8" x14ac:dyDescent="0.25">
      <c r="A359" t="s">
        <v>50</v>
      </c>
      <c r="B359" t="s">
        <v>465</v>
      </c>
      <c r="C359" t="s">
        <v>1117</v>
      </c>
      <c r="D359" t="s">
        <v>1120</v>
      </c>
      <c r="E359">
        <v>38.74</v>
      </c>
      <c r="F359">
        <v>930564</v>
      </c>
      <c r="G359" t="s">
        <v>1132</v>
      </c>
      <c r="H359" t="s">
        <v>1133</v>
      </c>
    </row>
    <row r="360" spans="1:8" x14ac:dyDescent="0.25">
      <c r="A360" t="s">
        <v>29</v>
      </c>
      <c r="B360" t="s">
        <v>466</v>
      </c>
      <c r="C360" t="s">
        <v>1108</v>
      </c>
      <c r="D360" t="s">
        <v>1122</v>
      </c>
      <c r="E360">
        <v>79.53</v>
      </c>
      <c r="F360">
        <v>488275</v>
      </c>
      <c r="G360" t="s">
        <v>1129</v>
      </c>
      <c r="H360" t="s">
        <v>1133</v>
      </c>
    </row>
    <row r="361" spans="1:8" x14ac:dyDescent="0.25">
      <c r="A361" t="s">
        <v>97</v>
      </c>
      <c r="B361" t="s">
        <v>467</v>
      </c>
      <c r="C361" t="s">
        <v>1110</v>
      </c>
      <c r="D361" t="s">
        <v>1122</v>
      </c>
      <c r="E361">
        <v>88.76</v>
      </c>
      <c r="F361">
        <v>536045</v>
      </c>
      <c r="G361" t="s">
        <v>1132</v>
      </c>
      <c r="H361" t="s">
        <v>1133</v>
      </c>
    </row>
    <row r="362" spans="1:8" x14ac:dyDescent="0.25">
      <c r="A362" t="s">
        <v>93</v>
      </c>
      <c r="B362" t="s">
        <v>468</v>
      </c>
      <c r="C362" t="s">
        <v>1112</v>
      </c>
      <c r="D362" t="s">
        <v>1119</v>
      </c>
      <c r="E362">
        <v>92.03</v>
      </c>
      <c r="F362">
        <v>439107</v>
      </c>
      <c r="G362" t="s">
        <v>1128</v>
      </c>
      <c r="H362" t="s">
        <v>1133</v>
      </c>
    </row>
    <row r="363" spans="1:8" x14ac:dyDescent="0.25">
      <c r="A363" t="s">
        <v>80</v>
      </c>
      <c r="B363" t="s">
        <v>469</v>
      </c>
      <c r="C363" t="s">
        <v>1113</v>
      </c>
      <c r="D363" t="s">
        <v>1123</v>
      </c>
      <c r="E363">
        <v>79.38</v>
      </c>
      <c r="F363">
        <v>429387</v>
      </c>
      <c r="G363" t="s">
        <v>1132</v>
      </c>
      <c r="H363" t="s">
        <v>1134</v>
      </c>
    </row>
    <row r="364" spans="1:8" x14ac:dyDescent="0.25">
      <c r="A364" t="s">
        <v>71</v>
      </c>
      <c r="B364" t="s">
        <v>470</v>
      </c>
      <c r="C364" t="s">
        <v>1111</v>
      </c>
      <c r="D364" t="s">
        <v>1121</v>
      </c>
      <c r="E364">
        <v>51.32</v>
      </c>
      <c r="F364">
        <v>114532</v>
      </c>
      <c r="G364" t="s">
        <v>1128</v>
      </c>
      <c r="H364" t="s">
        <v>1133</v>
      </c>
    </row>
    <row r="365" spans="1:8" x14ac:dyDescent="0.25">
      <c r="A365" t="s">
        <v>103</v>
      </c>
      <c r="B365" t="s">
        <v>471</v>
      </c>
      <c r="C365" t="s">
        <v>1116</v>
      </c>
      <c r="D365" t="s">
        <v>1126</v>
      </c>
      <c r="E365">
        <v>61.93</v>
      </c>
      <c r="F365">
        <v>521885</v>
      </c>
      <c r="G365" t="s">
        <v>1128</v>
      </c>
      <c r="H365" t="s">
        <v>1133</v>
      </c>
    </row>
    <row r="366" spans="1:8" x14ac:dyDescent="0.25">
      <c r="A366" t="s">
        <v>104</v>
      </c>
      <c r="B366" t="s">
        <v>472</v>
      </c>
      <c r="C366" t="s">
        <v>1113</v>
      </c>
      <c r="D366" t="s">
        <v>1125</v>
      </c>
      <c r="E366">
        <v>93.4</v>
      </c>
      <c r="F366">
        <v>737282</v>
      </c>
      <c r="G366" t="s">
        <v>1130</v>
      </c>
      <c r="H366" t="s">
        <v>1133</v>
      </c>
    </row>
    <row r="367" spans="1:8" x14ac:dyDescent="0.25">
      <c r="A367" t="s">
        <v>35</v>
      </c>
      <c r="B367" t="s">
        <v>473</v>
      </c>
      <c r="C367" t="s">
        <v>1115</v>
      </c>
      <c r="D367" t="s">
        <v>1123</v>
      </c>
      <c r="E367">
        <v>92.78</v>
      </c>
      <c r="F367">
        <v>588252</v>
      </c>
      <c r="G367" t="s">
        <v>1130</v>
      </c>
      <c r="H367" t="s">
        <v>1134</v>
      </c>
    </row>
    <row r="368" spans="1:8" x14ac:dyDescent="0.25">
      <c r="A368" t="s">
        <v>11</v>
      </c>
      <c r="B368" t="s">
        <v>474</v>
      </c>
      <c r="C368" t="s">
        <v>1110</v>
      </c>
      <c r="D368" t="s">
        <v>1118</v>
      </c>
      <c r="E368">
        <v>40.56</v>
      </c>
      <c r="F368">
        <v>947759</v>
      </c>
      <c r="G368" t="s">
        <v>1129</v>
      </c>
      <c r="H368" t="s">
        <v>1134</v>
      </c>
    </row>
    <row r="369" spans="1:8" x14ac:dyDescent="0.25">
      <c r="A369" t="s">
        <v>79</v>
      </c>
      <c r="B369" t="s">
        <v>475</v>
      </c>
      <c r="C369" t="s">
        <v>1110</v>
      </c>
      <c r="D369" t="s">
        <v>1124</v>
      </c>
      <c r="E369">
        <v>70.819999999999993</v>
      </c>
      <c r="F369">
        <v>571056</v>
      </c>
      <c r="G369" t="s">
        <v>1132</v>
      </c>
      <c r="H369" t="s">
        <v>1133</v>
      </c>
    </row>
    <row r="370" spans="1:8" x14ac:dyDescent="0.25">
      <c r="A370" t="s">
        <v>26</v>
      </c>
      <c r="B370" t="s">
        <v>476</v>
      </c>
      <c r="C370" t="s">
        <v>1112</v>
      </c>
      <c r="D370" t="s">
        <v>1127</v>
      </c>
      <c r="E370">
        <v>62.67</v>
      </c>
      <c r="F370">
        <v>584011</v>
      </c>
      <c r="G370" t="s">
        <v>1130</v>
      </c>
      <c r="H370" t="s">
        <v>1133</v>
      </c>
    </row>
    <row r="371" spans="1:8" x14ac:dyDescent="0.25">
      <c r="A371" t="s">
        <v>47</v>
      </c>
      <c r="B371" t="s">
        <v>477</v>
      </c>
      <c r="C371" t="s">
        <v>1112</v>
      </c>
      <c r="D371" t="s">
        <v>1127</v>
      </c>
      <c r="E371">
        <v>96.48</v>
      </c>
      <c r="F371">
        <v>827534</v>
      </c>
      <c r="G371" t="s">
        <v>1128</v>
      </c>
      <c r="H371" t="s">
        <v>1133</v>
      </c>
    </row>
    <row r="372" spans="1:8" x14ac:dyDescent="0.25">
      <c r="A372" t="s">
        <v>61</v>
      </c>
      <c r="B372" t="s">
        <v>478</v>
      </c>
      <c r="C372" t="s">
        <v>1113</v>
      </c>
      <c r="D372" t="s">
        <v>1119</v>
      </c>
      <c r="E372">
        <v>70.73</v>
      </c>
      <c r="F372">
        <v>118965</v>
      </c>
      <c r="G372" t="s">
        <v>1128</v>
      </c>
      <c r="H372" t="s">
        <v>1133</v>
      </c>
    </row>
    <row r="373" spans="1:8" x14ac:dyDescent="0.25">
      <c r="A373" t="s">
        <v>79</v>
      </c>
      <c r="B373" t="s">
        <v>479</v>
      </c>
      <c r="C373" t="s">
        <v>1108</v>
      </c>
      <c r="D373" t="s">
        <v>1126</v>
      </c>
      <c r="E373">
        <v>82.43</v>
      </c>
      <c r="F373">
        <v>421502</v>
      </c>
      <c r="G373" t="s">
        <v>1132</v>
      </c>
      <c r="H373" t="s">
        <v>1134</v>
      </c>
    </row>
    <row r="374" spans="1:8" x14ac:dyDescent="0.25">
      <c r="A374" t="s">
        <v>93</v>
      </c>
      <c r="B374" t="s">
        <v>480</v>
      </c>
      <c r="C374" t="s">
        <v>1108</v>
      </c>
      <c r="D374" t="s">
        <v>1123</v>
      </c>
      <c r="E374">
        <v>86.07</v>
      </c>
      <c r="F374">
        <v>678690</v>
      </c>
      <c r="G374" t="s">
        <v>1129</v>
      </c>
      <c r="H374" t="s">
        <v>1133</v>
      </c>
    </row>
    <row r="375" spans="1:8" x14ac:dyDescent="0.25">
      <c r="A375" t="s">
        <v>87</v>
      </c>
      <c r="B375" t="s">
        <v>481</v>
      </c>
      <c r="C375" t="s">
        <v>1113</v>
      </c>
      <c r="D375" t="s">
        <v>1124</v>
      </c>
      <c r="E375">
        <v>90.8</v>
      </c>
      <c r="F375">
        <v>218466</v>
      </c>
      <c r="G375" t="s">
        <v>1129</v>
      </c>
      <c r="H375" t="s">
        <v>1133</v>
      </c>
    </row>
    <row r="376" spans="1:8" x14ac:dyDescent="0.25">
      <c r="A376" t="s">
        <v>56</v>
      </c>
      <c r="B376" t="s">
        <v>482</v>
      </c>
      <c r="C376" t="s">
        <v>1115</v>
      </c>
      <c r="D376" t="s">
        <v>1125</v>
      </c>
      <c r="E376">
        <v>85.06</v>
      </c>
      <c r="F376">
        <v>901987</v>
      </c>
      <c r="G376" t="s">
        <v>1130</v>
      </c>
      <c r="H376" t="s">
        <v>1133</v>
      </c>
    </row>
    <row r="377" spans="1:8" x14ac:dyDescent="0.25">
      <c r="A377" t="s">
        <v>105</v>
      </c>
      <c r="B377" t="s">
        <v>483</v>
      </c>
      <c r="C377" t="s">
        <v>1108</v>
      </c>
      <c r="D377" t="s">
        <v>1126</v>
      </c>
      <c r="E377">
        <v>43.24</v>
      </c>
      <c r="F377">
        <v>635661</v>
      </c>
      <c r="G377" t="s">
        <v>1131</v>
      </c>
      <c r="H377" t="s">
        <v>1133</v>
      </c>
    </row>
    <row r="378" spans="1:8" x14ac:dyDescent="0.25">
      <c r="A378" t="s">
        <v>47</v>
      </c>
      <c r="B378" t="s">
        <v>484</v>
      </c>
      <c r="C378" t="s">
        <v>1110</v>
      </c>
      <c r="D378" t="s">
        <v>1120</v>
      </c>
      <c r="E378">
        <v>73.930000000000007</v>
      </c>
      <c r="F378">
        <v>246314</v>
      </c>
      <c r="G378" t="s">
        <v>1130</v>
      </c>
      <c r="H378" t="s">
        <v>1133</v>
      </c>
    </row>
    <row r="379" spans="1:8" x14ac:dyDescent="0.25">
      <c r="A379" t="s">
        <v>41</v>
      </c>
      <c r="B379" t="s">
        <v>485</v>
      </c>
      <c r="C379" t="s">
        <v>1112</v>
      </c>
      <c r="D379" t="s">
        <v>1119</v>
      </c>
      <c r="E379">
        <v>85.99</v>
      </c>
      <c r="F379">
        <v>722721</v>
      </c>
      <c r="G379" t="s">
        <v>1132</v>
      </c>
      <c r="H379" t="s">
        <v>1134</v>
      </c>
    </row>
    <row r="380" spans="1:8" x14ac:dyDescent="0.25">
      <c r="A380" t="s">
        <v>54</v>
      </c>
      <c r="B380" t="s">
        <v>486</v>
      </c>
      <c r="C380" t="s">
        <v>1115</v>
      </c>
      <c r="D380" t="s">
        <v>1126</v>
      </c>
      <c r="E380">
        <v>84.76</v>
      </c>
      <c r="F380">
        <v>949772</v>
      </c>
      <c r="G380" t="s">
        <v>1129</v>
      </c>
      <c r="H380" t="s">
        <v>1133</v>
      </c>
    </row>
    <row r="381" spans="1:8" x14ac:dyDescent="0.25">
      <c r="A381" t="s">
        <v>59</v>
      </c>
      <c r="B381" t="s">
        <v>487</v>
      </c>
      <c r="C381" t="s">
        <v>1110</v>
      </c>
      <c r="D381" t="s">
        <v>1121</v>
      </c>
      <c r="E381">
        <v>48.59</v>
      </c>
      <c r="F381">
        <v>471484</v>
      </c>
      <c r="G381" t="s">
        <v>1128</v>
      </c>
      <c r="H381" t="s">
        <v>1133</v>
      </c>
    </row>
    <row r="382" spans="1:8" x14ac:dyDescent="0.25">
      <c r="A382" t="s">
        <v>56</v>
      </c>
      <c r="B382" t="s">
        <v>488</v>
      </c>
      <c r="C382" t="s">
        <v>1115</v>
      </c>
      <c r="D382" t="s">
        <v>1127</v>
      </c>
      <c r="E382">
        <v>59.02</v>
      </c>
      <c r="F382">
        <v>240452</v>
      </c>
      <c r="G382" t="s">
        <v>1130</v>
      </c>
      <c r="H382" t="s">
        <v>1134</v>
      </c>
    </row>
    <row r="383" spans="1:8" x14ac:dyDescent="0.25">
      <c r="A383" t="s">
        <v>36</v>
      </c>
      <c r="B383" t="s">
        <v>489</v>
      </c>
      <c r="C383" t="s">
        <v>1113</v>
      </c>
      <c r="D383" t="s">
        <v>1120</v>
      </c>
      <c r="E383">
        <v>83.99</v>
      </c>
      <c r="F383">
        <v>318647</v>
      </c>
      <c r="G383" t="s">
        <v>1130</v>
      </c>
      <c r="H383" t="s">
        <v>1133</v>
      </c>
    </row>
    <row r="384" spans="1:8" x14ac:dyDescent="0.25">
      <c r="A384" t="s">
        <v>67</v>
      </c>
      <c r="B384" t="s">
        <v>490</v>
      </c>
      <c r="C384" t="s">
        <v>1117</v>
      </c>
      <c r="D384" t="s">
        <v>1127</v>
      </c>
      <c r="E384">
        <v>90.75</v>
      </c>
      <c r="F384">
        <v>531284</v>
      </c>
      <c r="G384" t="s">
        <v>1129</v>
      </c>
      <c r="H384" t="s">
        <v>1133</v>
      </c>
    </row>
    <row r="385" spans="1:8" x14ac:dyDescent="0.25">
      <c r="A385" t="s">
        <v>12</v>
      </c>
      <c r="B385" t="s">
        <v>491</v>
      </c>
      <c r="C385" t="s">
        <v>1111</v>
      </c>
      <c r="D385" t="s">
        <v>1118</v>
      </c>
      <c r="E385">
        <v>81.56</v>
      </c>
      <c r="F385">
        <v>374298</v>
      </c>
      <c r="G385" t="s">
        <v>1130</v>
      </c>
      <c r="H385" t="s">
        <v>1133</v>
      </c>
    </row>
    <row r="386" spans="1:8" x14ac:dyDescent="0.25">
      <c r="A386" t="s">
        <v>35</v>
      </c>
      <c r="B386" t="s">
        <v>492</v>
      </c>
      <c r="C386" t="s">
        <v>1117</v>
      </c>
      <c r="D386" t="s">
        <v>1127</v>
      </c>
      <c r="E386">
        <v>88.67</v>
      </c>
      <c r="F386">
        <v>976904</v>
      </c>
      <c r="G386" t="s">
        <v>1129</v>
      </c>
      <c r="H386" t="s">
        <v>1134</v>
      </c>
    </row>
    <row r="387" spans="1:8" x14ac:dyDescent="0.25">
      <c r="A387" t="s">
        <v>85</v>
      </c>
      <c r="B387" t="s">
        <v>493</v>
      </c>
      <c r="C387" t="s">
        <v>1115</v>
      </c>
      <c r="D387" t="s">
        <v>1121</v>
      </c>
      <c r="E387">
        <v>72.66</v>
      </c>
      <c r="F387">
        <v>441836</v>
      </c>
      <c r="G387" t="s">
        <v>1132</v>
      </c>
      <c r="H387" t="s">
        <v>1133</v>
      </c>
    </row>
    <row r="388" spans="1:8" x14ac:dyDescent="0.25">
      <c r="A388" t="s">
        <v>11</v>
      </c>
      <c r="B388" t="s">
        <v>494</v>
      </c>
      <c r="C388" t="s">
        <v>1112</v>
      </c>
      <c r="D388" t="s">
        <v>1124</v>
      </c>
      <c r="E388">
        <v>79.260000000000005</v>
      </c>
      <c r="F388">
        <v>675826</v>
      </c>
      <c r="G388" t="s">
        <v>1132</v>
      </c>
      <c r="H388" t="s">
        <v>1133</v>
      </c>
    </row>
    <row r="389" spans="1:8" x14ac:dyDescent="0.25">
      <c r="A389" t="s">
        <v>103</v>
      </c>
      <c r="B389" t="s">
        <v>495</v>
      </c>
      <c r="C389" t="s">
        <v>1114</v>
      </c>
      <c r="D389" t="s">
        <v>1127</v>
      </c>
      <c r="E389">
        <v>95.97</v>
      </c>
      <c r="F389">
        <v>416632</v>
      </c>
      <c r="G389" t="s">
        <v>1128</v>
      </c>
      <c r="H389" t="s">
        <v>1133</v>
      </c>
    </row>
    <row r="390" spans="1:8" x14ac:dyDescent="0.25">
      <c r="A390" t="s">
        <v>30</v>
      </c>
      <c r="B390" t="s">
        <v>496</v>
      </c>
      <c r="C390" t="s">
        <v>1108</v>
      </c>
      <c r="D390" t="s">
        <v>1119</v>
      </c>
      <c r="E390">
        <v>85.7</v>
      </c>
      <c r="F390">
        <v>437120</v>
      </c>
      <c r="G390" t="s">
        <v>1128</v>
      </c>
      <c r="H390" t="s">
        <v>1133</v>
      </c>
    </row>
    <row r="391" spans="1:8" x14ac:dyDescent="0.25">
      <c r="A391" t="s">
        <v>97</v>
      </c>
      <c r="B391" t="s">
        <v>497</v>
      </c>
      <c r="C391" t="s">
        <v>1109</v>
      </c>
      <c r="D391" t="s">
        <v>1123</v>
      </c>
      <c r="E391">
        <v>81.96</v>
      </c>
      <c r="F391">
        <v>650173</v>
      </c>
      <c r="G391" t="s">
        <v>1131</v>
      </c>
      <c r="H391" t="s">
        <v>1133</v>
      </c>
    </row>
    <row r="392" spans="1:8" x14ac:dyDescent="0.25">
      <c r="A392" t="s">
        <v>50</v>
      </c>
      <c r="B392" t="s">
        <v>498</v>
      </c>
      <c r="C392" t="s">
        <v>1110</v>
      </c>
      <c r="D392" t="s">
        <v>1119</v>
      </c>
      <c r="E392">
        <v>88.51</v>
      </c>
      <c r="F392">
        <v>258267</v>
      </c>
      <c r="G392" t="s">
        <v>1130</v>
      </c>
      <c r="H392" t="s">
        <v>1133</v>
      </c>
    </row>
    <row r="393" spans="1:8" x14ac:dyDescent="0.25">
      <c r="A393" t="s">
        <v>51</v>
      </c>
      <c r="B393" t="s">
        <v>499</v>
      </c>
      <c r="C393" t="s">
        <v>1113</v>
      </c>
      <c r="D393" t="s">
        <v>1122</v>
      </c>
      <c r="E393">
        <v>42.32</v>
      </c>
      <c r="F393">
        <v>234286</v>
      </c>
      <c r="G393" t="s">
        <v>1128</v>
      </c>
      <c r="H393" t="s">
        <v>1133</v>
      </c>
    </row>
    <row r="394" spans="1:8" x14ac:dyDescent="0.25">
      <c r="A394" t="s">
        <v>89</v>
      </c>
      <c r="B394" t="s">
        <v>500</v>
      </c>
      <c r="C394" t="s">
        <v>1111</v>
      </c>
      <c r="D394" t="s">
        <v>1125</v>
      </c>
      <c r="E394">
        <v>56.04</v>
      </c>
      <c r="F394">
        <v>439867</v>
      </c>
      <c r="G394" t="s">
        <v>1130</v>
      </c>
      <c r="H394" t="s">
        <v>1133</v>
      </c>
    </row>
    <row r="395" spans="1:8" x14ac:dyDescent="0.25">
      <c r="A395" t="s">
        <v>70</v>
      </c>
      <c r="B395" t="s">
        <v>501</v>
      </c>
      <c r="C395" t="s">
        <v>1116</v>
      </c>
      <c r="D395" t="s">
        <v>1122</v>
      </c>
      <c r="E395">
        <v>57.93</v>
      </c>
      <c r="F395">
        <v>791631</v>
      </c>
      <c r="G395" t="s">
        <v>1131</v>
      </c>
      <c r="H395" t="s">
        <v>1133</v>
      </c>
    </row>
    <row r="396" spans="1:8" x14ac:dyDescent="0.25">
      <c r="A396" t="s">
        <v>87</v>
      </c>
      <c r="B396" t="s">
        <v>502</v>
      </c>
      <c r="C396" t="s">
        <v>1116</v>
      </c>
      <c r="D396" t="s">
        <v>1123</v>
      </c>
      <c r="E396">
        <v>40.82</v>
      </c>
      <c r="F396">
        <v>413485</v>
      </c>
      <c r="G396" t="s">
        <v>1128</v>
      </c>
      <c r="H396" t="s">
        <v>1133</v>
      </c>
    </row>
    <row r="397" spans="1:8" x14ac:dyDescent="0.25">
      <c r="A397" t="s">
        <v>64</v>
      </c>
      <c r="B397" t="s">
        <v>503</v>
      </c>
      <c r="C397" t="s">
        <v>1116</v>
      </c>
      <c r="D397" t="s">
        <v>1126</v>
      </c>
      <c r="E397">
        <v>94.63</v>
      </c>
      <c r="F397">
        <v>965990</v>
      </c>
      <c r="G397" t="s">
        <v>1128</v>
      </c>
      <c r="H397" t="s">
        <v>1133</v>
      </c>
    </row>
    <row r="398" spans="1:8" x14ac:dyDescent="0.25">
      <c r="A398" t="s">
        <v>98</v>
      </c>
      <c r="B398" t="s">
        <v>504</v>
      </c>
      <c r="C398" t="s">
        <v>1112</v>
      </c>
      <c r="D398" t="s">
        <v>1127</v>
      </c>
      <c r="E398">
        <v>90.81</v>
      </c>
      <c r="F398">
        <v>768292</v>
      </c>
      <c r="G398" t="s">
        <v>1129</v>
      </c>
      <c r="H398" t="s">
        <v>1133</v>
      </c>
    </row>
    <row r="399" spans="1:8" x14ac:dyDescent="0.25">
      <c r="A399" t="s">
        <v>43</v>
      </c>
      <c r="B399" t="s">
        <v>505</v>
      </c>
      <c r="C399" t="s">
        <v>1110</v>
      </c>
      <c r="D399" t="s">
        <v>1122</v>
      </c>
      <c r="E399">
        <v>70.489999999999995</v>
      </c>
      <c r="F399">
        <v>695517</v>
      </c>
      <c r="G399" t="s">
        <v>1132</v>
      </c>
      <c r="H399" t="s">
        <v>1133</v>
      </c>
    </row>
    <row r="400" spans="1:8" x14ac:dyDescent="0.25">
      <c r="A400" t="s">
        <v>80</v>
      </c>
      <c r="B400" t="s">
        <v>506</v>
      </c>
      <c r="C400" t="s">
        <v>1114</v>
      </c>
      <c r="D400" t="s">
        <v>1123</v>
      </c>
      <c r="E400">
        <v>38.619999999999997</v>
      </c>
      <c r="F400">
        <v>275897</v>
      </c>
      <c r="G400" t="s">
        <v>1128</v>
      </c>
      <c r="H400" t="s">
        <v>1133</v>
      </c>
    </row>
    <row r="401" spans="1:8" x14ac:dyDescent="0.25">
      <c r="A401" t="s">
        <v>23</v>
      </c>
      <c r="B401" t="s">
        <v>507</v>
      </c>
      <c r="C401" t="s">
        <v>1116</v>
      </c>
      <c r="D401" t="s">
        <v>1123</v>
      </c>
      <c r="E401">
        <v>35.58</v>
      </c>
      <c r="F401">
        <v>299341</v>
      </c>
      <c r="G401" t="s">
        <v>1129</v>
      </c>
      <c r="H401" t="s">
        <v>1133</v>
      </c>
    </row>
    <row r="402" spans="1:8" x14ac:dyDescent="0.25">
      <c r="A402" t="s">
        <v>89</v>
      </c>
      <c r="B402" t="s">
        <v>508</v>
      </c>
      <c r="C402" t="s">
        <v>1114</v>
      </c>
      <c r="D402" t="s">
        <v>1125</v>
      </c>
      <c r="E402">
        <v>73.31</v>
      </c>
      <c r="F402">
        <v>344053</v>
      </c>
      <c r="G402" t="s">
        <v>1128</v>
      </c>
      <c r="H402" t="s">
        <v>1134</v>
      </c>
    </row>
    <row r="403" spans="1:8" x14ac:dyDescent="0.25">
      <c r="A403" t="s">
        <v>15</v>
      </c>
      <c r="B403" t="s">
        <v>509</v>
      </c>
      <c r="C403" t="s">
        <v>1111</v>
      </c>
      <c r="D403" t="s">
        <v>1122</v>
      </c>
      <c r="E403">
        <v>62.56</v>
      </c>
      <c r="F403">
        <v>790808</v>
      </c>
      <c r="G403" t="s">
        <v>1129</v>
      </c>
      <c r="H403" t="s">
        <v>1133</v>
      </c>
    </row>
    <row r="404" spans="1:8" x14ac:dyDescent="0.25">
      <c r="A404" t="s">
        <v>24</v>
      </c>
      <c r="B404" t="s">
        <v>510</v>
      </c>
      <c r="C404" t="s">
        <v>1113</v>
      </c>
      <c r="D404" t="s">
        <v>1122</v>
      </c>
      <c r="E404">
        <v>53.12</v>
      </c>
      <c r="F404">
        <v>451589</v>
      </c>
      <c r="G404" t="s">
        <v>1132</v>
      </c>
      <c r="H404" t="s">
        <v>1133</v>
      </c>
    </row>
    <row r="405" spans="1:8" x14ac:dyDescent="0.25">
      <c r="A405" t="s">
        <v>81</v>
      </c>
      <c r="B405" t="s">
        <v>511</v>
      </c>
      <c r="C405" t="s">
        <v>1113</v>
      </c>
      <c r="D405" t="s">
        <v>1121</v>
      </c>
      <c r="E405">
        <v>43.33</v>
      </c>
      <c r="F405">
        <v>855842</v>
      </c>
      <c r="G405" t="s">
        <v>1131</v>
      </c>
      <c r="H405" t="s">
        <v>1134</v>
      </c>
    </row>
    <row r="406" spans="1:8" x14ac:dyDescent="0.25">
      <c r="A406" t="s">
        <v>45</v>
      </c>
      <c r="B406" t="s">
        <v>512</v>
      </c>
      <c r="C406" t="s">
        <v>1112</v>
      </c>
      <c r="D406" t="s">
        <v>1124</v>
      </c>
      <c r="E406">
        <v>69.41</v>
      </c>
      <c r="F406">
        <v>215898</v>
      </c>
      <c r="G406" t="s">
        <v>1130</v>
      </c>
      <c r="H406" t="s">
        <v>1133</v>
      </c>
    </row>
    <row r="407" spans="1:8" x14ac:dyDescent="0.25">
      <c r="A407" t="s">
        <v>66</v>
      </c>
      <c r="B407" t="s">
        <v>513</v>
      </c>
      <c r="C407" t="s">
        <v>1113</v>
      </c>
      <c r="D407" t="s">
        <v>1120</v>
      </c>
      <c r="E407">
        <v>49.9</v>
      </c>
      <c r="F407">
        <v>782778</v>
      </c>
      <c r="G407" t="s">
        <v>1132</v>
      </c>
      <c r="H407" t="s">
        <v>1133</v>
      </c>
    </row>
    <row r="408" spans="1:8" x14ac:dyDescent="0.25">
      <c r="A408" t="s">
        <v>66</v>
      </c>
      <c r="B408" t="s">
        <v>514</v>
      </c>
      <c r="C408" t="s">
        <v>1111</v>
      </c>
      <c r="D408" t="s">
        <v>1124</v>
      </c>
      <c r="E408">
        <v>59.86</v>
      </c>
      <c r="F408">
        <v>814440</v>
      </c>
      <c r="G408" t="s">
        <v>1128</v>
      </c>
      <c r="H408" t="s">
        <v>1133</v>
      </c>
    </row>
    <row r="409" spans="1:8" x14ac:dyDescent="0.25">
      <c r="A409" t="s">
        <v>11</v>
      </c>
      <c r="B409" t="s">
        <v>515</v>
      </c>
      <c r="C409" t="s">
        <v>1115</v>
      </c>
      <c r="D409" t="s">
        <v>1121</v>
      </c>
      <c r="E409">
        <v>84.73</v>
      </c>
      <c r="F409">
        <v>695212</v>
      </c>
      <c r="G409" t="s">
        <v>1129</v>
      </c>
      <c r="H409" t="s">
        <v>1133</v>
      </c>
    </row>
    <row r="410" spans="1:8" x14ac:dyDescent="0.25">
      <c r="A410" t="s">
        <v>20</v>
      </c>
      <c r="B410" t="s">
        <v>516</v>
      </c>
      <c r="C410" t="s">
        <v>1110</v>
      </c>
      <c r="D410" t="s">
        <v>1119</v>
      </c>
      <c r="E410">
        <v>39.03</v>
      </c>
      <c r="F410">
        <v>800670</v>
      </c>
      <c r="G410" t="s">
        <v>1128</v>
      </c>
      <c r="H410" t="s">
        <v>1134</v>
      </c>
    </row>
    <row r="411" spans="1:8" x14ac:dyDescent="0.25">
      <c r="A411" t="s">
        <v>30</v>
      </c>
      <c r="B411" t="s">
        <v>517</v>
      </c>
      <c r="C411" t="s">
        <v>1111</v>
      </c>
      <c r="D411" t="s">
        <v>1123</v>
      </c>
      <c r="E411">
        <v>91.53</v>
      </c>
      <c r="F411">
        <v>887091</v>
      </c>
      <c r="G411" t="s">
        <v>1128</v>
      </c>
      <c r="H411" t="s">
        <v>1133</v>
      </c>
    </row>
    <row r="412" spans="1:8" x14ac:dyDescent="0.25">
      <c r="A412" t="s">
        <v>56</v>
      </c>
      <c r="B412" t="s">
        <v>518</v>
      </c>
      <c r="C412" t="s">
        <v>1112</v>
      </c>
      <c r="D412" t="s">
        <v>1118</v>
      </c>
      <c r="E412">
        <v>66.959999999999994</v>
      </c>
      <c r="F412">
        <v>594053</v>
      </c>
      <c r="G412" t="s">
        <v>1130</v>
      </c>
      <c r="H412" t="s">
        <v>1133</v>
      </c>
    </row>
    <row r="413" spans="1:8" x14ac:dyDescent="0.25">
      <c r="A413" t="s">
        <v>67</v>
      </c>
      <c r="B413" t="s">
        <v>519</v>
      </c>
      <c r="C413" t="s">
        <v>1115</v>
      </c>
      <c r="D413" t="s">
        <v>1121</v>
      </c>
      <c r="E413">
        <v>36.119999999999997</v>
      </c>
      <c r="F413">
        <v>463333</v>
      </c>
      <c r="G413" t="s">
        <v>1132</v>
      </c>
      <c r="H413" t="s">
        <v>1134</v>
      </c>
    </row>
    <row r="414" spans="1:8" x14ac:dyDescent="0.25">
      <c r="A414" t="s">
        <v>45</v>
      </c>
      <c r="B414" t="s">
        <v>520</v>
      </c>
      <c r="C414" t="s">
        <v>1115</v>
      </c>
      <c r="D414" t="s">
        <v>1126</v>
      </c>
      <c r="E414">
        <v>47.67</v>
      </c>
      <c r="F414">
        <v>113690</v>
      </c>
      <c r="G414" t="s">
        <v>1129</v>
      </c>
      <c r="H414" t="s">
        <v>1133</v>
      </c>
    </row>
    <row r="415" spans="1:8" x14ac:dyDescent="0.25">
      <c r="A415" t="s">
        <v>48</v>
      </c>
      <c r="B415" t="s">
        <v>521</v>
      </c>
      <c r="C415" t="s">
        <v>1112</v>
      </c>
      <c r="D415" t="s">
        <v>1123</v>
      </c>
      <c r="E415">
        <v>89.26</v>
      </c>
      <c r="F415">
        <v>513661</v>
      </c>
      <c r="G415" t="s">
        <v>1130</v>
      </c>
      <c r="H415" t="s">
        <v>1134</v>
      </c>
    </row>
    <row r="416" spans="1:8" x14ac:dyDescent="0.25">
      <c r="A416" t="s">
        <v>18</v>
      </c>
      <c r="B416" t="s">
        <v>522</v>
      </c>
      <c r="C416" t="s">
        <v>1114</v>
      </c>
      <c r="D416" t="s">
        <v>1127</v>
      </c>
      <c r="E416">
        <v>81.92</v>
      </c>
      <c r="F416">
        <v>537731</v>
      </c>
      <c r="G416" t="s">
        <v>1128</v>
      </c>
      <c r="H416" t="s">
        <v>1133</v>
      </c>
    </row>
    <row r="417" spans="1:8" x14ac:dyDescent="0.25">
      <c r="A417" t="s">
        <v>102</v>
      </c>
      <c r="B417" t="s">
        <v>523</v>
      </c>
      <c r="C417" t="s">
        <v>1116</v>
      </c>
      <c r="D417" t="s">
        <v>1127</v>
      </c>
      <c r="E417">
        <v>96.17</v>
      </c>
      <c r="F417">
        <v>545164</v>
      </c>
      <c r="G417" t="s">
        <v>1128</v>
      </c>
      <c r="H417" t="s">
        <v>1134</v>
      </c>
    </row>
    <row r="418" spans="1:8" x14ac:dyDescent="0.25">
      <c r="A418" t="s">
        <v>106</v>
      </c>
      <c r="B418" t="s">
        <v>524</v>
      </c>
      <c r="C418" t="s">
        <v>1111</v>
      </c>
      <c r="D418" t="s">
        <v>1118</v>
      </c>
      <c r="E418">
        <v>82.09</v>
      </c>
      <c r="F418">
        <v>955915</v>
      </c>
      <c r="G418" t="s">
        <v>1131</v>
      </c>
      <c r="H418" t="s">
        <v>1134</v>
      </c>
    </row>
    <row r="419" spans="1:8" x14ac:dyDescent="0.25">
      <c r="A419" t="s">
        <v>8</v>
      </c>
      <c r="B419" t="s">
        <v>525</v>
      </c>
      <c r="C419" t="s">
        <v>1115</v>
      </c>
      <c r="D419" t="s">
        <v>1125</v>
      </c>
      <c r="E419">
        <v>83.93</v>
      </c>
      <c r="F419">
        <v>973153</v>
      </c>
      <c r="G419" t="s">
        <v>1130</v>
      </c>
      <c r="H419" t="s">
        <v>1133</v>
      </c>
    </row>
    <row r="420" spans="1:8" x14ac:dyDescent="0.25">
      <c r="A420" t="s">
        <v>107</v>
      </c>
      <c r="B420" t="s">
        <v>526</v>
      </c>
      <c r="C420" t="s">
        <v>1110</v>
      </c>
      <c r="D420" t="s">
        <v>1126</v>
      </c>
      <c r="E420">
        <v>45.02</v>
      </c>
      <c r="F420">
        <v>444407</v>
      </c>
      <c r="G420" t="s">
        <v>1130</v>
      </c>
      <c r="H420" t="s">
        <v>1133</v>
      </c>
    </row>
    <row r="421" spans="1:8" x14ac:dyDescent="0.25">
      <c r="A421" t="s">
        <v>76</v>
      </c>
      <c r="B421" t="s">
        <v>527</v>
      </c>
      <c r="C421" t="s">
        <v>1114</v>
      </c>
      <c r="D421" t="s">
        <v>1119</v>
      </c>
      <c r="E421">
        <v>35.770000000000003</v>
      </c>
      <c r="F421">
        <v>407353</v>
      </c>
      <c r="G421" t="s">
        <v>1131</v>
      </c>
      <c r="H421" t="s">
        <v>1133</v>
      </c>
    </row>
    <row r="422" spans="1:8" x14ac:dyDescent="0.25">
      <c r="A422" t="s">
        <v>54</v>
      </c>
      <c r="B422" t="s">
        <v>528</v>
      </c>
      <c r="C422" t="s">
        <v>1116</v>
      </c>
      <c r="D422" t="s">
        <v>1119</v>
      </c>
      <c r="E422">
        <v>45.32</v>
      </c>
      <c r="F422">
        <v>218858</v>
      </c>
      <c r="G422" t="s">
        <v>1131</v>
      </c>
      <c r="H422" t="s">
        <v>1133</v>
      </c>
    </row>
    <row r="423" spans="1:8" x14ac:dyDescent="0.25">
      <c r="A423" t="s">
        <v>64</v>
      </c>
      <c r="B423" t="s">
        <v>529</v>
      </c>
      <c r="C423" t="s">
        <v>1115</v>
      </c>
      <c r="D423" t="s">
        <v>1120</v>
      </c>
      <c r="E423">
        <v>51.29</v>
      </c>
      <c r="F423">
        <v>182168</v>
      </c>
      <c r="G423" t="s">
        <v>1128</v>
      </c>
      <c r="H423" t="s">
        <v>1134</v>
      </c>
    </row>
    <row r="424" spans="1:8" x14ac:dyDescent="0.25">
      <c r="A424" t="s">
        <v>62</v>
      </c>
      <c r="B424" t="s">
        <v>530</v>
      </c>
      <c r="C424" t="s">
        <v>1113</v>
      </c>
      <c r="D424" t="s">
        <v>1119</v>
      </c>
      <c r="E424">
        <v>98.63</v>
      </c>
      <c r="F424">
        <v>742787</v>
      </c>
      <c r="G424" t="s">
        <v>1130</v>
      </c>
      <c r="H424" t="s">
        <v>1134</v>
      </c>
    </row>
    <row r="425" spans="1:8" x14ac:dyDescent="0.25">
      <c r="A425" t="s">
        <v>28</v>
      </c>
      <c r="B425" t="s">
        <v>531</v>
      </c>
      <c r="C425" t="s">
        <v>1115</v>
      </c>
      <c r="D425" t="s">
        <v>1126</v>
      </c>
      <c r="E425">
        <v>71.5</v>
      </c>
      <c r="F425">
        <v>332041</v>
      </c>
      <c r="G425" t="s">
        <v>1128</v>
      </c>
      <c r="H425" t="s">
        <v>1133</v>
      </c>
    </row>
    <row r="426" spans="1:8" x14ac:dyDescent="0.25">
      <c r="A426" t="s">
        <v>107</v>
      </c>
      <c r="B426" t="s">
        <v>532</v>
      </c>
      <c r="C426" t="s">
        <v>1114</v>
      </c>
      <c r="D426" t="s">
        <v>1121</v>
      </c>
      <c r="E426">
        <v>60.91</v>
      </c>
      <c r="F426">
        <v>904836</v>
      </c>
      <c r="G426" t="s">
        <v>1128</v>
      </c>
      <c r="H426" t="s">
        <v>1133</v>
      </c>
    </row>
    <row r="427" spans="1:8" x14ac:dyDescent="0.25">
      <c r="A427" t="s">
        <v>52</v>
      </c>
      <c r="B427" t="s">
        <v>533</v>
      </c>
      <c r="C427" t="s">
        <v>1115</v>
      </c>
      <c r="D427" t="s">
        <v>1127</v>
      </c>
      <c r="E427">
        <v>40.369999999999997</v>
      </c>
      <c r="F427">
        <v>725144</v>
      </c>
      <c r="G427" t="s">
        <v>1131</v>
      </c>
      <c r="H427" t="s">
        <v>1133</v>
      </c>
    </row>
    <row r="428" spans="1:8" x14ac:dyDescent="0.25">
      <c r="A428" t="s">
        <v>84</v>
      </c>
      <c r="B428" t="s">
        <v>534</v>
      </c>
      <c r="C428" t="s">
        <v>1115</v>
      </c>
      <c r="D428" t="s">
        <v>1126</v>
      </c>
      <c r="E428">
        <v>45.41</v>
      </c>
      <c r="F428">
        <v>974172</v>
      </c>
      <c r="G428" t="s">
        <v>1128</v>
      </c>
      <c r="H428" t="s">
        <v>1134</v>
      </c>
    </row>
    <row r="429" spans="1:8" x14ac:dyDescent="0.25">
      <c r="A429" t="s">
        <v>99</v>
      </c>
      <c r="B429" t="s">
        <v>535</v>
      </c>
      <c r="C429" t="s">
        <v>1117</v>
      </c>
      <c r="D429" t="s">
        <v>1123</v>
      </c>
      <c r="E429">
        <v>88.37</v>
      </c>
      <c r="F429">
        <v>473523</v>
      </c>
      <c r="G429" t="s">
        <v>1129</v>
      </c>
      <c r="H429" t="s">
        <v>1133</v>
      </c>
    </row>
    <row r="430" spans="1:8" x14ac:dyDescent="0.25">
      <c r="A430" t="s">
        <v>12</v>
      </c>
      <c r="B430" t="s">
        <v>536</v>
      </c>
      <c r="C430" t="s">
        <v>1113</v>
      </c>
      <c r="D430" t="s">
        <v>1122</v>
      </c>
      <c r="E430">
        <v>45.39</v>
      </c>
      <c r="F430">
        <v>862197</v>
      </c>
      <c r="G430" t="s">
        <v>1128</v>
      </c>
      <c r="H430" t="s">
        <v>1133</v>
      </c>
    </row>
    <row r="431" spans="1:8" x14ac:dyDescent="0.25">
      <c r="A431" t="s">
        <v>61</v>
      </c>
      <c r="B431" t="s">
        <v>537</v>
      </c>
      <c r="C431" t="s">
        <v>1113</v>
      </c>
      <c r="D431" t="s">
        <v>1122</v>
      </c>
      <c r="E431">
        <v>77.66</v>
      </c>
      <c r="F431">
        <v>279298</v>
      </c>
      <c r="G431" t="s">
        <v>1131</v>
      </c>
      <c r="H431" t="s">
        <v>1133</v>
      </c>
    </row>
    <row r="432" spans="1:8" x14ac:dyDescent="0.25">
      <c r="A432" t="s">
        <v>62</v>
      </c>
      <c r="B432" t="s">
        <v>538</v>
      </c>
      <c r="C432" t="s">
        <v>1112</v>
      </c>
      <c r="D432" t="s">
        <v>1121</v>
      </c>
      <c r="E432">
        <v>57.09</v>
      </c>
      <c r="F432">
        <v>369218</v>
      </c>
      <c r="G432" t="s">
        <v>1129</v>
      </c>
      <c r="H432" t="s">
        <v>1133</v>
      </c>
    </row>
    <row r="433" spans="1:8" x14ac:dyDescent="0.25">
      <c r="A433" t="s">
        <v>61</v>
      </c>
      <c r="B433" t="s">
        <v>539</v>
      </c>
      <c r="C433" t="s">
        <v>1112</v>
      </c>
      <c r="D433" t="s">
        <v>1121</v>
      </c>
      <c r="E433">
        <v>39.58</v>
      </c>
      <c r="F433">
        <v>148144</v>
      </c>
      <c r="G433" t="s">
        <v>1128</v>
      </c>
      <c r="H433" t="s">
        <v>1134</v>
      </c>
    </row>
    <row r="434" spans="1:8" x14ac:dyDescent="0.25">
      <c r="A434" t="s">
        <v>26</v>
      </c>
      <c r="B434" t="s">
        <v>540</v>
      </c>
      <c r="C434" t="s">
        <v>1114</v>
      </c>
      <c r="D434" t="s">
        <v>1118</v>
      </c>
      <c r="E434">
        <v>54.99</v>
      </c>
      <c r="F434">
        <v>841725</v>
      </c>
      <c r="G434" t="s">
        <v>1131</v>
      </c>
      <c r="H434" t="s">
        <v>1133</v>
      </c>
    </row>
    <row r="435" spans="1:8" x14ac:dyDescent="0.25">
      <c r="A435" t="s">
        <v>20</v>
      </c>
      <c r="B435" t="s">
        <v>541</v>
      </c>
      <c r="C435" t="s">
        <v>1109</v>
      </c>
      <c r="D435" t="s">
        <v>1127</v>
      </c>
      <c r="E435">
        <v>73.75</v>
      </c>
      <c r="F435">
        <v>117559</v>
      </c>
      <c r="G435" t="s">
        <v>1129</v>
      </c>
      <c r="H435" t="s">
        <v>1133</v>
      </c>
    </row>
    <row r="436" spans="1:8" x14ac:dyDescent="0.25">
      <c r="A436" t="s">
        <v>54</v>
      </c>
      <c r="B436" t="s">
        <v>542</v>
      </c>
      <c r="C436" t="s">
        <v>1115</v>
      </c>
      <c r="D436" t="s">
        <v>1122</v>
      </c>
      <c r="E436">
        <v>87.23</v>
      </c>
      <c r="F436">
        <v>305756</v>
      </c>
      <c r="G436" t="s">
        <v>1132</v>
      </c>
      <c r="H436" t="s">
        <v>1133</v>
      </c>
    </row>
    <row r="437" spans="1:8" x14ac:dyDescent="0.25">
      <c r="A437" t="s">
        <v>44</v>
      </c>
      <c r="B437" t="s">
        <v>543</v>
      </c>
      <c r="C437" t="s">
        <v>1114</v>
      </c>
      <c r="D437" t="s">
        <v>1127</v>
      </c>
      <c r="E437">
        <v>64.37</v>
      </c>
      <c r="F437">
        <v>902525</v>
      </c>
      <c r="G437" t="s">
        <v>1132</v>
      </c>
      <c r="H437" t="s">
        <v>1134</v>
      </c>
    </row>
    <row r="438" spans="1:8" x14ac:dyDescent="0.25">
      <c r="A438" t="s">
        <v>46</v>
      </c>
      <c r="B438" t="s">
        <v>544</v>
      </c>
      <c r="C438" t="s">
        <v>1109</v>
      </c>
      <c r="D438" t="s">
        <v>1122</v>
      </c>
      <c r="E438">
        <v>63.29</v>
      </c>
      <c r="F438">
        <v>516242</v>
      </c>
      <c r="G438" t="s">
        <v>1132</v>
      </c>
      <c r="H438" t="s">
        <v>1134</v>
      </c>
    </row>
    <row r="439" spans="1:8" x14ac:dyDescent="0.25">
      <c r="A439" t="s">
        <v>64</v>
      </c>
      <c r="B439" t="s">
        <v>545</v>
      </c>
      <c r="C439" t="s">
        <v>1110</v>
      </c>
      <c r="D439" t="s">
        <v>1119</v>
      </c>
      <c r="E439">
        <v>50.48</v>
      </c>
      <c r="F439">
        <v>875188</v>
      </c>
      <c r="G439" t="s">
        <v>1128</v>
      </c>
      <c r="H439" t="s">
        <v>1134</v>
      </c>
    </row>
    <row r="440" spans="1:8" x14ac:dyDescent="0.25">
      <c r="A440" t="s">
        <v>69</v>
      </c>
      <c r="B440" t="s">
        <v>546</v>
      </c>
      <c r="C440" t="s">
        <v>1113</v>
      </c>
      <c r="D440" t="s">
        <v>1126</v>
      </c>
      <c r="E440">
        <v>85.61</v>
      </c>
      <c r="F440">
        <v>458453</v>
      </c>
      <c r="G440" t="s">
        <v>1130</v>
      </c>
      <c r="H440" t="s">
        <v>1134</v>
      </c>
    </row>
    <row r="441" spans="1:8" x14ac:dyDescent="0.25">
      <c r="A441" t="s">
        <v>62</v>
      </c>
      <c r="B441" t="s">
        <v>547</v>
      </c>
      <c r="C441" t="s">
        <v>1110</v>
      </c>
      <c r="D441" t="s">
        <v>1124</v>
      </c>
      <c r="E441">
        <v>99.64</v>
      </c>
      <c r="F441">
        <v>926202</v>
      </c>
      <c r="G441" t="s">
        <v>1130</v>
      </c>
      <c r="H441" t="s">
        <v>1134</v>
      </c>
    </row>
    <row r="442" spans="1:8" x14ac:dyDescent="0.25">
      <c r="A442" t="s">
        <v>46</v>
      </c>
      <c r="B442" t="s">
        <v>548</v>
      </c>
      <c r="C442" t="s">
        <v>1114</v>
      </c>
      <c r="D442" t="s">
        <v>1123</v>
      </c>
      <c r="E442">
        <v>83.53</v>
      </c>
      <c r="F442">
        <v>958109</v>
      </c>
      <c r="G442" t="s">
        <v>1131</v>
      </c>
      <c r="H442" t="s">
        <v>1133</v>
      </c>
    </row>
    <row r="443" spans="1:8" x14ac:dyDescent="0.25">
      <c r="A443" t="s">
        <v>56</v>
      </c>
      <c r="B443" t="s">
        <v>549</v>
      </c>
      <c r="C443" t="s">
        <v>1112</v>
      </c>
      <c r="D443" t="s">
        <v>1127</v>
      </c>
      <c r="E443">
        <v>49.32</v>
      </c>
      <c r="F443">
        <v>560749</v>
      </c>
      <c r="G443" t="s">
        <v>1132</v>
      </c>
      <c r="H443" t="s">
        <v>1133</v>
      </c>
    </row>
    <row r="444" spans="1:8" x14ac:dyDescent="0.25">
      <c r="A444" t="s">
        <v>19</v>
      </c>
      <c r="B444" t="s">
        <v>550</v>
      </c>
      <c r="C444" t="s">
        <v>1111</v>
      </c>
      <c r="D444" t="s">
        <v>1118</v>
      </c>
      <c r="E444">
        <v>68.33</v>
      </c>
      <c r="F444">
        <v>226211</v>
      </c>
      <c r="G444" t="s">
        <v>1132</v>
      </c>
      <c r="H444" t="s">
        <v>1133</v>
      </c>
    </row>
    <row r="445" spans="1:8" x14ac:dyDescent="0.25">
      <c r="A445" t="s">
        <v>58</v>
      </c>
      <c r="B445" t="s">
        <v>551</v>
      </c>
      <c r="C445" t="s">
        <v>1116</v>
      </c>
      <c r="D445" t="s">
        <v>1120</v>
      </c>
      <c r="E445">
        <v>87.46</v>
      </c>
      <c r="F445">
        <v>929897</v>
      </c>
      <c r="G445" t="s">
        <v>1130</v>
      </c>
      <c r="H445" t="s">
        <v>1134</v>
      </c>
    </row>
    <row r="446" spans="1:8" x14ac:dyDescent="0.25">
      <c r="A446" t="s">
        <v>100</v>
      </c>
      <c r="B446" t="s">
        <v>552</v>
      </c>
      <c r="C446" t="s">
        <v>1115</v>
      </c>
      <c r="D446" t="s">
        <v>1120</v>
      </c>
      <c r="E446">
        <v>68.099999999999994</v>
      </c>
      <c r="F446">
        <v>101501</v>
      </c>
      <c r="G446" t="s">
        <v>1131</v>
      </c>
      <c r="H446" t="s">
        <v>1133</v>
      </c>
    </row>
    <row r="447" spans="1:8" x14ac:dyDescent="0.25">
      <c r="A447" t="s">
        <v>63</v>
      </c>
      <c r="B447" t="s">
        <v>553</v>
      </c>
      <c r="C447" t="s">
        <v>1116</v>
      </c>
      <c r="D447" t="s">
        <v>1122</v>
      </c>
      <c r="E447">
        <v>47.06</v>
      </c>
      <c r="F447">
        <v>342653</v>
      </c>
      <c r="G447" t="s">
        <v>1129</v>
      </c>
      <c r="H447" t="s">
        <v>1133</v>
      </c>
    </row>
    <row r="448" spans="1:8" x14ac:dyDescent="0.25">
      <c r="A448" t="s">
        <v>82</v>
      </c>
      <c r="B448" t="s">
        <v>554</v>
      </c>
      <c r="C448" t="s">
        <v>1108</v>
      </c>
      <c r="D448" t="s">
        <v>1120</v>
      </c>
      <c r="E448">
        <v>66.47</v>
      </c>
      <c r="F448">
        <v>260957</v>
      </c>
      <c r="G448" t="s">
        <v>1129</v>
      </c>
      <c r="H448" t="s">
        <v>1133</v>
      </c>
    </row>
    <row r="449" spans="1:8" x14ac:dyDescent="0.25">
      <c r="A449" t="s">
        <v>41</v>
      </c>
      <c r="B449" t="s">
        <v>555</v>
      </c>
      <c r="C449" t="s">
        <v>1116</v>
      </c>
      <c r="D449" t="s">
        <v>1120</v>
      </c>
      <c r="E449">
        <v>64.98</v>
      </c>
      <c r="F449">
        <v>257258</v>
      </c>
      <c r="G449" t="s">
        <v>1131</v>
      </c>
      <c r="H449" t="s">
        <v>1134</v>
      </c>
    </row>
    <row r="450" spans="1:8" x14ac:dyDescent="0.25">
      <c r="A450" t="s">
        <v>80</v>
      </c>
      <c r="B450" t="s">
        <v>556</v>
      </c>
      <c r="C450" t="s">
        <v>1111</v>
      </c>
      <c r="D450" t="s">
        <v>1126</v>
      </c>
      <c r="E450">
        <v>92.6</v>
      </c>
      <c r="F450">
        <v>872160</v>
      </c>
      <c r="G450" t="s">
        <v>1128</v>
      </c>
      <c r="H450" t="s">
        <v>1133</v>
      </c>
    </row>
    <row r="451" spans="1:8" x14ac:dyDescent="0.25">
      <c r="A451" t="s">
        <v>106</v>
      </c>
      <c r="B451" t="s">
        <v>557</v>
      </c>
      <c r="C451" t="s">
        <v>1115</v>
      </c>
      <c r="D451" t="s">
        <v>1126</v>
      </c>
      <c r="E451">
        <v>81.069999999999993</v>
      </c>
      <c r="F451">
        <v>104455</v>
      </c>
      <c r="G451" t="s">
        <v>1129</v>
      </c>
      <c r="H451" t="s">
        <v>1133</v>
      </c>
    </row>
    <row r="452" spans="1:8" x14ac:dyDescent="0.25">
      <c r="A452" t="s">
        <v>26</v>
      </c>
      <c r="B452" t="s">
        <v>558</v>
      </c>
      <c r="C452" t="s">
        <v>1110</v>
      </c>
      <c r="D452" t="s">
        <v>1118</v>
      </c>
      <c r="E452">
        <v>55.22</v>
      </c>
      <c r="F452">
        <v>993701</v>
      </c>
      <c r="G452" t="s">
        <v>1132</v>
      </c>
      <c r="H452" t="s">
        <v>1133</v>
      </c>
    </row>
    <row r="453" spans="1:8" x14ac:dyDescent="0.25">
      <c r="A453" t="s">
        <v>68</v>
      </c>
      <c r="B453" t="s">
        <v>559</v>
      </c>
      <c r="C453" t="s">
        <v>1109</v>
      </c>
      <c r="D453" t="s">
        <v>1123</v>
      </c>
      <c r="E453">
        <v>75.11</v>
      </c>
      <c r="F453">
        <v>257532</v>
      </c>
      <c r="G453" t="s">
        <v>1131</v>
      </c>
      <c r="H453" t="s">
        <v>1133</v>
      </c>
    </row>
    <row r="454" spans="1:8" x14ac:dyDescent="0.25">
      <c r="A454" t="s">
        <v>44</v>
      </c>
      <c r="B454" t="s">
        <v>560</v>
      </c>
      <c r="C454" t="s">
        <v>1114</v>
      </c>
      <c r="D454" t="s">
        <v>1121</v>
      </c>
      <c r="E454">
        <v>45.51</v>
      </c>
      <c r="F454">
        <v>639698</v>
      </c>
      <c r="G454" t="s">
        <v>1129</v>
      </c>
      <c r="H454" t="s">
        <v>1134</v>
      </c>
    </row>
    <row r="455" spans="1:8" x14ac:dyDescent="0.25">
      <c r="A455" t="s">
        <v>13</v>
      </c>
      <c r="B455" t="s">
        <v>561</v>
      </c>
      <c r="C455" t="s">
        <v>1116</v>
      </c>
      <c r="D455" t="s">
        <v>1124</v>
      </c>
      <c r="E455">
        <v>97.08</v>
      </c>
      <c r="F455">
        <v>494139</v>
      </c>
      <c r="G455" t="s">
        <v>1129</v>
      </c>
      <c r="H455" t="s">
        <v>1133</v>
      </c>
    </row>
    <row r="456" spans="1:8" x14ac:dyDescent="0.25">
      <c r="A456" t="s">
        <v>67</v>
      </c>
      <c r="B456" t="s">
        <v>562</v>
      </c>
      <c r="C456" t="s">
        <v>1111</v>
      </c>
      <c r="D456" t="s">
        <v>1118</v>
      </c>
      <c r="E456">
        <v>68.569999999999993</v>
      </c>
      <c r="F456">
        <v>688986</v>
      </c>
      <c r="G456" t="s">
        <v>1131</v>
      </c>
      <c r="H456" t="s">
        <v>1133</v>
      </c>
    </row>
    <row r="457" spans="1:8" x14ac:dyDescent="0.25">
      <c r="A457" t="s">
        <v>92</v>
      </c>
      <c r="B457" t="s">
        <v>563</v>
      </c>
      <c r="C457" t="s">
        <v>1117</v>
      </c>
      <c r="D457" t="s">
        <v>1118</v>
      </c>
      <c r="E457">
        <v>80.31</v>
      </c>
      <c r="F457">
        <v>638799</v>
      </c>
      <c r="G457" t="s">
        <v>1128</v>
      </c>
      <c r="H457" t="s">
        <v>1133</v>
      </c>
    </row>
    <row r="458" spans="1:8" x14ac:dyDescent="0.25">
      <c r="A458" t="s">
        <v>29</v>
      </c>
      <c r="B458" t="s">
        <v>564</v>
      </c>
      <c r="C458" t="s">
        <v>1115</v>
      </c>
      <c r="D458" t="s">
        <v>1125</v>
      </c>
      <c r="E458">
        <v>61.64</v>
      </c>
      <c r="F458">
        <v>781191</v>
      </c>
      <c r="G458" t="s">
        <v>1130</v>
      </c>
      <c r="H458" t="s">
        <v>1133</v>
      </c>
    </row>
    <row r="459" spans="1:8" x14ac:dyDescent="0.25">
      <c r="A459" t="s">
        <v>90</v>
      </c>
      <c r="B459" t="s">
        <v>565</v>
      </c>
      <c r="C459" t="s">
        <v>1111</v>
      </c>
      <c r="D459" t="s">
        <v>1123</v>
      </c>
      <c r="E459">
        <v>71.83</v>
      </c>
      <c r="F459">
        <v>943944</v>
      </c>
      <c r="G459" t="s">
        <v>1132</v>
      </c>
      <c r="H459" t="s">
        <v>1134</v>
      </c>
    </row>
    <row r="460" spans="1:8" x14ac:dyDescent="0.25">
      <c r="A460" t="s">
        <v>89</v>
      </c>
      <c r="B460" t="s">
        <v>566</v>
      </c>
      <c r="C460" t="s">
        <v>1111</v>
      </c>
      <c r="D460" t="s">
        <v>1119</v>
      </c>
      <c r="E460">
        <v>74.16</v>
      </c>
      <c r="F460">
        <v>219356</v>
      </c>
      <c r="G460" t="s">
        <v>1132</v>
      </c>
      <c r="H460" t="s">
        <v>1133</v>
      </c>
    </row>
    <row r="461" spans="1:8" x14ac:dyDescent="0.25">
      <c r="A461" t="s">
        <v>104</v>
      </c>
      <c r="B461" t="s">
        <v>567</v>
      </c>
      <c r="C461" t="s">
        <v>1108</v>
      </c>
      <c r="D461" t="s">
        <v>1127</v>
      </c>
      <c r="E461">
        <v>61.18</v>
      </c>
      <c r="F461">
        <v>931057</v>
      </c>
      <c r="G461" t="s">
        <v>1129</v>
      </c>
      <c r="H461" t="s">
        <v>1134</v>
      </c>
    </row>
    <row r="462" spans="1:8" x14ac:dyDescent="0.25">
      <c r="A462" t="s">
        <v>17</v>
      </c>
      <c r="B462" t="s">
        <v>568</v>
      </c>
      <c r="C462" t="s">
        <v>1112</v>
      </c>
      <c r="D462" t="s">
        <v>1118</v>
      </c>
      <c r="E462">
        <v>52.29</v>
      </c>
      <c r="F462">
        <v>187319</v>
      </c>
      <c r="G462" t="s">
        <v>1132</v>
      </c>
      <c r="H462" t="s">
        <v>1134</v>
      </c>
    </row>
    <row r="463" spans="1:8" x14ac:dyDescent="0.25">
      <c r="A463" t="s">
        <v>104</v>
      </c>
      <c r="B463" t="s">
        <v>569</v>
      </c>
      <c r="C463" t="s">
        <v>1108</v>
      </c>
      <c r="D463" t="s">
        <v>1124</v>
      </c>
      <c r="E463">
        <v>48.58</v>
      </c>
      <c r="F463">
        <v>316167</v>
      </c>
      <c r="G463" t="s">
        <v>1129</v>
      </c>
      <c r="H463" t="s">
        <v>1134</v>
      </c>
    </row>
    <row r="464" spans="1:8" x14ac:dyDescent="0.25">
      <c r="A464" t="s">
        <v>107</v>
      </c>
      <c r="B464" t="s">
        <v>570</v>
      </c>
      <c r="C464" t="s">
        <v>1112</v>
      </c>
      <c r="D464" t="s">
        <v>1122</v>
      </c>
      <c r="E464">
        <v>96.67</v>
      </c>
      <c r="F464">
        <v>722465</v>
      </c>
      <c r="G464" t="s">
        <v>1128</v>
      </c>
      <c r="H464" t="s">
        <v>1133</v>
      </c>
    </row>
    <row r="465" spans="1:8" x14ac:dyDescent="0.25">
      <c r="A465" t="s">
        <v>76</v>
      </c>
      <c r="B465" t="s">
        <v>571</v>
      </c>
      <c r="C465" t="s">
        <v>1109</v>
      </c>
      <c r="D465" t="s">
        <v>1124</v>
      </c>
      <c r="E465">
        <v>36.71</v>
      </c>
      <c r="F465">
        <v>117738</v>
      </c>
      <c r="G465" t="s">
        <v>1128</v>
      </c>
      <c r="H465" t="s">
        <v>1133</v>
      </c>
    </row>
    <row r="466" spans="1:8" x14ac:dyDescent="0.25">
      <c r="A466" t="s">
        <v>66</v>
      </c>
      <c r="B466" t="s">
        <v>572</v>
      </c>
      <c r="C466" t="s">
        <v>1117</v>
      </c>
      <c r="D466" t="s">
        <v>1124</v>
      </c>
      <c r="E466">
        <v>61.43</v>
      </c>
      <c r="F466">
        <v>972219</v>
      </c>
      <c r="G466" t="s">
        <v>1128</v>
      </c>
      <c r="H466" t="s">
        <v>1133</v>
      </c>
    </row>
    <row r="467" spans="1:8" x14ac:dyDescent="0.25">
      <c r="A467" t="s">
        <v>40</v>
      </c>
      <c r="B467" t="s">
        <v>573</v>
      </c>
      <c r="C467" t="s">
        <v>1115</v>
      </c>
      <c r="D467" t="s">
        <v>1122</v>
      </c>
      <c r="E467">
        <v>83.35</v>
      </c>
      <c r="F467">
        <v>501954</v>
      </c>
      <c r="G467" t="s">
        <v>1128</v>
      </c>
      <c r="H467" t="s">
        <v>1133</v>
      </c>
    </row>
    <row r="468" spans="1:8" x14ac:dyDescent="0.25">
      <c r="A468" t="s">
        <v>9</v>
      </c>
      <c r="B468" t="s">
        <v>574</v>
      </c>
      <c r="C468" t="s">
        <v>1115</v>
      </c>
      <c r="D468" t="s">
        <v>1122</v>
      </c>
      <c r="E468">
        <v>84.51</v>
      </c>
      <c r="F468">
        <v>108276</v>
      </c>
      <c r="G468" t="s">
        <v>1131</v>
      </c>
      <c r="H468" t="s">
        <v>1133</v>
      </c>
    </row>
    <row r="469" spans="1:8" x14ac:dyDescent="0.25">
      <c r="A469" t="s">
        <v>95</v>
      </c>
      <c r="B469" t="s">
        <v>575</v>
      </c>
      <c r="C469" t="s">
        <v>1113</v>
      </c>
      <c r="D469" t="s">
        <v>1119</v>
      </c>
      <c r="E469">
        <v>50.84</v>
      </c>
      <c r="F469">
        <v>437597</v>
      </c>
      <c r="G469" t="s">
        <v>1130</v>
      </c>
      <c r="H469" t="s">
        <v>1133</v>
      </c>
    </row>
    <row r="470" spans="1:8" x14ac:dyDescent="0.25">
      <c r="A470" t="s">
        <v>17</v>
      </c>
      <c r="B470" t="s">
        <v>576</v>
      </c>
      <c r="C470" t="s">
        <v>1108</v>
      </c>
      <c r="D470" t="s">
        <v>1124</v>
      </c>
      <c r="E470">
        <v>55.45</v>
      </c>
      <c r="F470">
        <v>842340</v>
      </c>
      <c r="G470" t="s">
        <v>1130</v>
      </c>
      <c r="H470" t="s">
        <v>1134</v>
      </c>
    </row>
    <row r="471" spans="1:8" x14ac:dyDescent="0.25">
      <c r="A471" t="s">
        <v>104</v>
      </c>
      <c r="B471" t="s">
        <v>577</v>
      </c>
      <c r="C471" t="s">
        <v>1108</v>
      </c>
      <c r="D471" t="s">
        <v>1123</v>
      </c>
      <c r="E471">
        <v>66.17</v>
      </c>
      <c r="F471">
        <v>676871</v>
      </c>
      <c r="G471" t="s">
        <v>1128</v>
      </c>
      <c r="H471" t="s">
        <v>1134</v>
      </c>
    </row>
    <row r="472" spans="1:8" x14ac:dyDescent="0.25">
      <c r="A472" t="s">
        <v>14</v>
      </c>
      <c r="B472" t="s">
        <v>578</v>
      </c>
      <c r="C472" t="s">
        <v>1110</v>
      </c>
      <c r="D472" t="s">
        <v>1123</v>
      </c>
      <c r="E472">
        <v>94.91</v>
      </c>
      <c r="F472">
        <v>366718</v>
      </c>
      <c r="G472" t="s">
        <v>1132</v>
      </c>
      <c r="H472" t="s">
        <v>1133</v>
      </c>
    </row>
    <row r="473" spans="1:8" x14ac:dyDescent="0.25">
      <c r="A473" t="s">
        <v>91</v>
      </c>
      <c r="B473" t="s">
        <v>579</v>
      </c>
      <c r="C473" t="s">
        <v>1109</v>
      </c>
      <c r="D473" t="s">
        <v>1122</v>
      </c>
      <c r="E473">
        <v>95.02</v>
      </c>
      <c r="F473">
        <v>822794</v>
      </c>
      <c r="G473" t="s">
        <v>1128</v>
      </c>
      <c r="H473" t="s">
        <v>1133</v>
      </c>
    </row>
    <row r="474" spans="1:8" x14ac:dyDescent="0.25">
      <c r="A474" t="s">
        <v>22</v>
      </c>
      <c r="B474" t="s">
        <v>580</v>
      </c>
      <c r="C474" t="s">
        <v>1116</v>
      </c>
      <c r="D474" t="s">
        <v>1120</v>
      </c>
      <c r="E474">
        <v>58.44</v>
      </c>
      <c r="F474">
        <v>602839</v>
      </c>
      <c r="G474" t="s">
        <v>1131</v>
      </c>
      <c r="H474" t="s">
        <v>1134</v>
      </c>
    </row>
    <row r="475" spans="1:8" x14ac:dyDescent="0.25">
      <c r="A475" t="s">
        <v>13</v>
      </c>
      <c r="B475" t="s">
        <v>581</v>
      </c>
      <c r="C475" t="s">
        <v>1115</v>
      </c>
      <c r="D475" t="s">
        <v>1123</v>
      </c>
      <c r="E475">
        <v>85.69</v>
      </c>
      <c r="F475">
        <v>861399</v>
      </c>
      <c r="G475" t="s">
        <v>1129</v>
      </c>
      <c r="H475" t="s">
        <v>1134</v>
      </c>
    </row>
    <row r="476" spans="1:8" x14ac:dyDescent="0.25">
      <c r="A476" t="s">
        <v>52</v>
      </c>
      <c r="B476" t="s">
        <v>582</v>
      </c>
      <c r="C476" t="s">
        <v>1108</v>
      </c>
      <c r="D476" t="s">
        <v>1121</v>
      </c>
      <c r="E476">
        <v>93.66</v>
      </c>
      <c r="F476">
        <v>514179</v>
      </c>
      <c r="G476" t="s">
        <v>1130</v>
      </c>
      <c r="H476" t="s">
        <v>1133</v>
      </c>
    </row>
    <row r="477" spans="1:8" x14ac:dyDescent="0.25">
      <c r="A477" t="s">
        <v>106</v>
      </c>
      <c r="B477" t="s">
        <v>583</v>
      </c>
      <c r="C477" t="s">
        <v>1114</v>
      </c>
      <c r="D477" t="s">
        <v>1123</v>
      </c>
      <c r="E477">
        <v>67.77</v>
      </c>
      <c r="F477">
        <v>265708</v>
      </c>
      <c r="G477" t="s">
        <v>1132</v>
      </c>
      <c r="H477" t="s">
        <v>1133</v>
      </c>
    </row>
    <row r="478" spans="1:8" x14ac:dyDescent="0.25">
      <c r="A478" t="s">
        <v>77</v>
      </c>
      <c r="B478" t="s">
        <v>584</v>
      </c>
      <c r="C478" t="s">
        <v>1117</v>
      </c>
      <c r="D478" t="s">
        <v>1120</v>
      </c>
      <c r="E478">
        <v>87.36</v>
      </c>
      <c r="F478">
        <v>401577</v>
      </c>
      <c r="G478" t="s">
        <v>1132</v>
      </c>
      <c r="H478" t="s">
        <v>1134</v>
      </c>
    </row>
    <row r="479" spans="1:8" x14ac:dyDescent="0.25">
      <c r="A479" t="s">
        <v>69</v>
      </c>
      <c r="B479" t="s">
        <v>585</v>
      </c>
      <c r="C479" t="s">
        <v>1108</v>
      </c>
      <c r="D479" t="s">
        <v>1123</v>
      </c>
      <c r="E479">
        <v>80.23</v>
      </c>
      <c r="F479">
        <v>943421</v>
      </c>
      <c r="G479" t="s">
        <v>1130</v>
      </c>
      <c r="H479" t="s">
        <v>1133</v>
      </c>
    </row>
    <row r="480" spans="1:8" x14ac:dyDescent="0.25">
      <c r="A480" t="s">
        <v>40</v>
      </c>
      <c r="B480" t="s">
        <v>586</v>
      </c>
      <c r="C480" t="s">
        <v>1114</v>
      </c>
      <c r="D480" t="s">
        <v>1124</v>
      </c>
      <c r="E480">
        <v>97.13</v>
      </c>
      <c r="F480">
        <v>410831</v>
      </c>
      <c r="G480" t="s">
        <v>1130</v>
      </c>
      <c r="H480" t="s">
        <v>1133</v>
      </c>
    </row>
    <row r="481" spans="1:8" x14ac:dyDescent="0.25">
      <c r="A481" t="s">
        <v>17</v>
      </c>
      <c r="B481" t="s">
        <v>587</v>
      </c>
      <c r="C481" t="s">
        <v>1113</v>
      </c>
      <c r="D481" t="s">
        <v>1120</v>
      </c>
      <c r="E481">
        <v>38.35</v>
      </c>
      <c r="F481">
        <v>743038</v>
      </c>
      <c r="G481" t="s">
        <v>1128</v>
      </c>
      <c r="H481" t="s">
        <v>1133</v>
      </c>
    </row>
    <row r="482" spans="1:8" x14ac:dyDescent="0.25">
      <c r="A482" t="s">
        <v>104</v>
      </c>
      <c r="B482" t="s">
        <v>588</v>
      </c>
      <c r="C482" t="s">
        <v>1116</v>
      </c>
      <c r="D482" t="s">
        <v>1121</v>
      </c>
      <c r="E482">
        <v>54.85</v>
      </c>
      <c r="F482">
        <v>915897</v>
      </c>
      <c r="G482" t="s">
        <v>1131</v>
      </c>
      <c r="H482" t="s">
        <v>1133</v>
      </c>
    </row>
    <row r="483" spans="1:8" x14ac:dyDescent="0.25">
      <c r="A483" t="s">
        <v>45</v>
      </c>
      <c r="B483" t="s">
        <v>589</v>
      </c>
      <c r="C483" t="s">
        <v>1111</v>
      </c>
      <c r="D483" t="s">
        <v>1118</v>
      </c>
      <c r="E483">
        <v>40.89</v>
      </c>
      <c r="F483">
        <v>981019</v>
      </c>
      <c r="G483" t="s">
        <v>1128</v>
      </c>
      <c r="H483" t="s">
        <v>1133</v>
      </c>
    </row>
    <row r="484" spans="1:8" x14ac:dyDescent="0.25">
      <c r="A484" t="s">
        <v>98</v>
      </c>
      <c r="B484" t="s">
        <v>590</v>
      </c>
      <c r="C484" t="s">
        <v>1108</v>
      </c>
      <c r="D484" t="s">
        <v>1122</v>
      </c>
      <c r="E484">
        <v>42.22</v>
      </c>
      <c r="F484">
        <v>997016</v>
      </c>
      <c r="G484" t="s">
        <v>1131</v>
      </c>
      <c r="H484" t="s">
        <v>1134</v>
      </c>
    </row>
    <row r="485" spans="1:8" x14ac:dyDescent="0.25">
      <c r="A485" t="s">
        <v>63</v>
      </c>
      <c r="B485" t="s">
        <v>591</v>
      </c>
      <c r="C485" t="s">
        <v>1117</v>
      </c>
      <c r="D485" t="s">
        <v>1122</v>
      </c>
      <c r="E485">
        <v>80.61</v>
      </c>
      <c r="F485">
        <v>300569</v>
      </c>
      <c r="G485" t="s">
        <v>1130</v>
      </c>
      <c r="H485" t="s">
        <v>1133</v>
      </c>
    </row>
    <row r="486" spans="1:8" x14ac:dyDescent="0.25">
      <c r="A486" t="s">
        <v>70</v>
      </c>
      <c r="B486" t="s">
        <v>592</v>
      </c>
      <c r="C486" t="s">
        <v>1117</v>
      </c>
      <c r="D486" t="s">
        <v>1119</v>
      </c>
      <c r="E486">
        <v>76.55</v>
      </c>
      <c r="F486">
        <v>706730</v>
      </c>
      <c r="G486" t="s">
        <v>1128</v>
      </c>
      <c r="H486" t="s">
        <v>1134</v>
      </c>
    </row>
    <row r="487" spans="1:8" x14ac:dyDescent="0.25">
      <c r="A487" t="s">
        <v>83</v>
      </c>
      <c r="B487" t="s">
        <v>593</v>
      </c>
      <c r="C487" t="s">
        <v>1112</v>
      </c>
      <c r="D487" t="s">
        <v>1120</v>
      </c>
      <c r="E487">
        <v>37.200000000000003</v>
      </c>
      <c r="F487">
        <v>145239</v>
      </c>
      <c r="G487" t="s">
        <v>1131</v>
      </c>
      <c r="H487" t="s">
        <v>1134</v>
      </c>
    </row>
    <row r="488" spans="1:8" x14ac:dyDescent="0.25">
      <c r="A488" t="s">
        <v>85</v>
      </c>
      <c r="B488" t="s">
        <v>594</v>
      </c>
      <c r="C488" t="s">
        <v>1115</v>
      </c>
      <c r="D488" t="s">
        <v>1119</v>
      </c>
      <c r="E488">
        <v>41.03</v>
      </c>
      <c r="F488">
        <v>711815</v>
      </c>
      <c r="G488" t="s">
        <v>1132</v>
      </c>
      <c r="H488" t="s">
        <v>1133</v>
      </c>
    </row>
    <row r="489" spans="1:8" x14ac:dyDescent="0.25">
      <c r="A489" t="s">
        <v>73</v>
      </c>
      <c r="B489" t="s">
        <v>595</v>
      </c>
      <c r="C489" t="s">
        <v>1116</v>
      </c>
      <c r="D489" t="s">
        <v>1125</v>
      </c>
      <c r="E489">
        <v>50.31</v>
      </c>
      <c r="F489">
        <v>266313</v>
      </c>
      <c r="G489" t="s">
        <v>1128</v>
      </c>
      <c r="H489" t="s">
        <v>1133</v>
      </c>
    </row>
    <row r="490" spans="1:8" x14ac:dyDescent="0.25">
      <c r="A490" t="s">
        <v>85</v>
      </c>
      <c r="B490" t="s">
        <v>596</v>
      </c>
      <c r="C490" t="s">
        <v>1112</v>
      </c>
      <c r="D490" t="s">
        <v>1118</v>
      </c>
      <c r="E490">
        <v>70.98</v>
      </c>
      <c r="F490">
        <v>808561</v>
      </c>
      <c r="G490" t="s">
        <v>1131</v>
      </c>
      <c r="H490" t="s">
        <v>1134</v>
      </c>
    </row>
    <row r="491" spans="1:8" x14ac:dyDescent="0.25">
      <c r="A491" t="s">
        <v>101</v>
      </c>
      <c r="B491" t="s">
        <v>597</v>
      </c>
      <c r="C491" t="s">
        <v>1110</v>
      </c>
      <c r="D491" t="s">
        <v>1120</v>
      </c>
      <c r="E491">
        <v>36.4</v>
      </c>
      <c r="F491">
        <v>648597</v>
      </c>
      <c r="G491" t="s">
        <v>1130</v>
      </c>
      <c r="H491" t="s">
        <v>1133</v>
      </c>
    </row>
    <row r="492" spans="1:8" x14ac:dyDescent="0.25">
      <c r="A492" t="s">
        <v>59</v>
      </c>
      <c r="B492" t="s">
        <v>598</v>
      </c>
      <c r="C492" t="s">
        <v>1109</v>
      </c>
      <c r="D492" t="s">
        <v>1118</v>
      </c>
      <c r="E492">
        <v>67.540000000000006</v>
      </c>
      <c r="F492">
        <v>548470</v>
      </c>
      <c r="G492" t="s">
        <v>1128</v>
      </c>
      <c r="H492" t="s">
        <v>1133</v>
      </c>
    </row>
    <row r="493" spans="1:8" x14ac:dyDescent="0.25">
      <c r="A493" t="s">
        <v>22</v>
      </c>
      <c r="B493" t="s">
        <v>599</v>
      </c>
      <c r="C493" t="s">
        <v>1112</v>
      </c>
      <c r="D493" t="s">
        <v>1120</v>
      </c>
      <c r="E493">
        <v>70.09</v>
      </c>
      <c r="F493">
        <v>710866</v>
      </c>
      <c r="G493" t="s">
        <v>1131</v>
      </c>
      <c r="H493" t="s">
        <v>1133</v>
      </c>
    </row>
    <row r="494" spans="1:8" x14ac:dyDescent="0.25">
      <c r="A494" t="s">
        <v>31</v>
      </c>
      <c r="B494" t="s">
        <v>600</v>
      </c>
      <c r="C494" t="s">
        <v>1114</v>
      </c>
      <c r="D494" t="s">
        <v>1120</v>
      </c>
      <c r="E494">
        <v>37</v>
      </c>
      <c r="F494">
        <v>903562</v>
      </c>
      <c r="G494" t="s">
        <v>1131</v>
      </c>
      <c r="H494" t="s">
        <v>1133</v>
      </c>
    </row>
    <row r="495" spans="1:8" x14ac:dyDescent="0.25">
      <c r="A495" t="s">
        <v>14</v>
      </c>
      <c r="B495" t="s">
        <v>601</v>
      </c>
      <c r="C495" t="s">
        <v>1109</v>
      </c>
      <c r="D495" t="s">
        <v>1122</v>
      </c>
      <c r="E495">
        <v>89.19</v>
      </c>
      <c r="F495">
        <v>354602</v>
      </c>
      <c r="G495" t="s">
        <v>1130</v>
      </c>
      <c r="H495" t="s">
        <v>1133</v>
      </c>
    </row>
    <row r="496" spans="1:8" x14ac:dyDescent="0.25">
      <c r="A496" t="s">
        <v>8</v>
      </c>
      <c r="B496" t="s">
        <v>602</v>
      </c>
      <c r="C496" t="s">
        <v>1112</v>
      </c>
      <c r="D496" t="s">
        <v>1124</v>
      </c>
      <c r="E496">
        <v>87.61</v>
      </c>
      <c r="F496">
        <v>950775</v>
      </c>
      <c r="G496" t="s">
        <v>1132</v>
      </c>
      <c r="H496" t="s">
        <v>1133</v>
      </c>
    </row>
    <row r="497" spans="1:8" x14ac:dyDescent="0.25">
      <c r="A497" t="s">
        <v>57</v>
      </c>
      <c r="B497" t="s">
        <v>603</v>
      </c>
      <c r="C497" t="s">
        <v>1117</v>
      </c>
      <c r="D497" t="s">
        <v>1120</v>
      </c>
      <c r="E497">
        <v>91.25</v>
      </c>
      <c r="F497">
        <v>274375</v>
      </c>
      <c r="G497" t="s">
        <v>1132</v>
      </c>
      <c r="H497" t="s">
        <v>1133</v>
      </c>
    </row>
    <row r="498" spans="1:8" x14ac:dyDescent="0.25">
      <c r="A498" t="s">
        <v>33</v>
      </c>
      <c r="B498" t="s">
        <v>604</v>
      </c>
      <c r="C498" t="s">
        <v>1115</v>
      </c>
      <c r="D498" t="s">
        <v>1120</v>
      </c>
      <c r="E498">
        <v>59.92</v>
      </c>
      <c r="F498">
        <v>930959</v>
      </c>
      <c r="G498" t="s">
        <v>1129</v>
      </c>
      <c r="H498" t="s">
        <v>1133</v>
      </c>
    </row>
    <row r="499" spans="1:8" x14ac:dyDescent="0.25">
      <c r="A499" t="s">
        <v>60</v>
      </c>
      <c r="B499" t="s">
        <v>605</v>
      </c>
      <c r="C499" t="s">
        <v>1115</v>
      </c>
      <c r="D499" t="s">
        <v>1119</v>
      </c>
      <c r="E499">
        <v>50.47</v>
      </c>
      <c r="F499">
        <v>767781</v>
      </c>
      <c r="G499" t="s">
        <v>1130</v>
      </c>
      <c r="H499" t="s">
        <v>1133</v>
      </c>
    </row>
    <row r="500" spans="1:8" x14ac:dyDescent="0.25">
      <c r="A500" t="s">
        <v>29</v>
      </c>
      <c r="B500" t="s">
        <v>606</v>
      </c>
      <c r="C500" t="s">
        <v>1111</v>
      </c>
      <c r="D500" t="s">
        <v>1125</v>
      </c>
      <c r="E500">
        <v>69.739999999999995</v>
      </c>
      <c r="F500">
        <v>323305</v>
      </c>
      <c r="G500" t="s">
        <v>1130</v>
      </c>
      <c r="H500" t="s">
        <v>1133</v>
      </c>
    </row>
    <row r="501" spans="1:8" x14ac:dyDescent="0.25">
      <c r="A501" t="s">
        <v>14</v>
      </c>
      <c r="B501" t="s">
        <v>607</v>
      </c>
      <c r="C501" t="s">
        <v>1116</v>
      </c>
      <c r="D501" t="s">
        <v>1118</v>
      </c>
      <c r="E501">
        <v>73.489999999999995</v>
      </c>
      <c r="F501">
        <v>689756</v>
      </c>
      <c r="G501" t="s">
        <v>1129</v>
      </c>
      <c r="H501" t="s">
        <v>1134</v>
      </c>
    </row>
    <row r="502" spans="1:8" x14ac:dyDescent="0.25">
      <c r="A502" t="s">
        <v>84</v>
      </c>
      <c r="B502" t="s">
        <v>608</v>
      </c>
      <c r="C502" t="s">
        <v>1112</v>
      </c>
      <c r="D502" t="s">
        <v>1126</v>
      </c>
      <c r="E502">
        <v>63.31</v>
      </c>
      <c r="F502">
        <v>440155</v>
      </c>
      <c r="G502" t="s">
        <v>1132</v>
      </c>
      <c r="H502" t="s">
        <v>1133</v>
      </c>
    </row>
    <row r="503" spans="1:8" x14ac:dyDescent="0.25">
      <c r="A503" t="s">
        <v>36</v>
      </c>
      <c r="B503" t="s">
        <v>609</v>
      </c>
      <c r="C503" t="s">
        <v>1111</v>
      </c>
      <c r="D503" t="s">
        <v>1124</v>
      </c>
      <c r="E503">
        <v>81.98</v>
      </c>
      <c r="F503">
        <v>705946</v>
      </c>
      <c r="G503" t="s">
        <v>1128</v>
      </c>
      <c r="H503" t="s">
        <v>1133</v>
      </c>
    </row>
    <row r="504" spans="1:8" x14ac:dyDescent="0.25">
      <c r="A504" t="s">
        <v>42</v>
      </c>
      <c r="B504" t="s">
        <v>610</v>
      </c>
      <c r="C504" t="s">
        <v>1117</v>
      </c>
      <c r="D504" t="s">
        <v>1122</v>
      </c>
      <c r="E504">
        <v>38.21</v>
      </c>
      <c r="F504">
        <v>972091</v>
      </c>
      <c r="G504" t="s">
        <v>1131</v>
      </c>
      <c r="H504" t="s">
        <v>1133</v>
      </c>
    </row>
    <row r="505" spans="1:8" x14ac:dyDescent="0.25">
      <c r="A505" t="s">
        <v>79</v>
      </c>
      <c r="B505" t="s">
        <v>611</v>
      </c>
      <c r="C505" t="s">
        <v>1115</v>
      </c>
      <c r="D505" t="s">
        <v>1118</v>
      </c>
      <c r="E505">
        <v>62.68</v>
      </c>
      <c r="F505">
        <v>748130</v>
      </c>
      <c r="G505" t="s">
        <v>1130</v>
      </c>
      <c r="H505" t="s">
        <v>1133</v>
      </c>
    </row>
    <row r="506" spans="1:8" x14ac:dyDescent="0.25">
      <c r="A506" t="s">
        <v>98</v>
      </c>
      <c r="B506" t="s">
        <v>612</v>
      </c>
      <c r="C506" t="s">
        <v>1112</v>
      </c>
      <c r="D506" t="s">
        <v>1126</v>
      </c>
      <c r="E506">
        <v>61.6</v>
      </c>
      <c r="F506">
        <v>216369</v>
      </c>
      <c r="G506" t="s">
        <v>1131</v>
      </c>
      <c r="H506" t="s">
        <v>1133</v>
      </c>
    </row>
    <row r="507" spans="1:8" x14ac:dyDescent="0.25">
      <c r="A507" t="s">
        <v>70</v>
      </c>
      <c r="B507" t="s">
        <v>613</v>
      </c>
      <c r="C507" t="s">
        <v>1108</v>
      </c>
      <c r="D507" t="s">
        <v>1122</v>
      </c>
      <c r="E507">
        <v>74.260000000000005</v>
      </c>
      <c r="F507">
        <v>267890</v>
      </c>
      <c r="G507" t="s">
        <v>1132</v>
      </c>
      <c r="H507" t="s">
        <v>1133</v>
      </c>
    </row>
    <row r="508" spans="1:8" x14ac:dyDescent="0.25">
      <c r="A508" t="s">
        <v>49</v>
      </c>
      <c r="B508" t="s">
        <v>614</v>
      </c>
      <c r="C508" t="s">
        <v>1114</v>
      </c>
      <c r="D508" t="s">
        <v>1124</v>
      </c>
      <c r="E508">
        <v>72.75</v>
      </c>
      <c r="F508">
        <v>197922</v>
      </c>
      <c r="G508" t="s">
        <v>1129</v>
      </c>
      <c r="H508" t="s">
        <v>1134</v>
      </c>
    </row>
    <row r="509" spans="1:8" x14ac:dyDescent="0.25">
      <c r="A509" t="s">
        <v>94</v>
      </c>
      <c r="B509" t="s">
        <v>615</v>
      </c>
      <c r="C509" t="s">
        <v>1116</v>
      </c>
      <c r="D509" t="s">
        <v>1121</v>
      </c>
      <c r="E509">
        <v>86.74</v>
      </c>
      <c r="F509">
        <v>996077</v>
      </c>
      <c r="G509" t="s">
        <v>1131</v>
      </c>
      <c r="H509" t="s">
        <v>1133</v>
      </c>
    </row>
    <row r="510" spans="1:8" x14ac:dyDescent="0.25">
      <c r="A510" t="s">
        <v>65</v>
      </c>
      <c r="B510" t="s">
        <v>616</v>
      </c>
      <c r="C510" t="s">
        <v>1108</v>
      </c>
      <c r="D510" t="s">
        <v>1123</v>
      </c>
      <c r="E510">
        <v>51.88</v>
      </c>
      <c r="F510">
        <v>949935</v>
      </c>
      <c r="G510" t="s">
        <v>1131</v>
      </c>
      <c r="H510" t="s">
        <v>1133</v>
      </c>
    </row>
    <row r="511" spans="1:8" x14ac:dyDescent="0.25">
      <c r="A511" t="s">
        <v>12</v>
      </c>
      <c r="B511" t="s">
        <v>617</v>
      </c>
      <c r="C511" t="s">
        <v>1108</v>
      </c>
      <c r="D511" t="s">
        <v>1127</v>
      </c>
      <c r="E511">
        <v>91.2</v>
      </c>
      <c r="F511">
        <v>179091</v>
      </c>
      <c r="G511" t="s">
        <v>1132</v>
      </c>
      <c r="H511" t="s">
        <v>1133</v>
      </c>
    </row>
    <row r="512" spans="1:8" x14ac:dyDescent="0.25">
      <c r="A512" t="s">
        <v>21</v>
      </c>
      <c r="B512" t="s">
        <v>618</v>
      </c>
      <c r="C512" t="s">
        <v>1115</v>
      </c>
      <c r="D512" t="s">
        <v>1125</v>
      </c>
      <c r="E512">
        <v>39.81</v>
      </c>
      <c r="F512">
        <v>291927</v>
      </c>
      <c r="G512" t="s">
        <v>1129</v>
      </c>
      <c r="H512" t="s">
        <v>1134</v>
      </c>
    </row>
    <row r="513" spans="1:8" x14ac:dyDescent="0.25">
      <c r="A513" t="s">
        <v>33</v>
      </c>
      <c r="B513" t="s">
        <v>619</v>
      </c>
      <c r="C513" t="s">
        <v>1112</v>
      </c>
      <c r="D513" t="s">
        <v>1124</v>
      </c>
      <c r="E513">
        <v>43.31</v>
      </c>
      <c r="F513">
        <v>702926</v>
      </c>
      <c r="G513" t="s">
        <v>1130</v>
      </c>
      <c r="H513" t="s">
        <v>1133</v>
      </c>
    </row>
    <row r="514" spans="1:8" x14ac:dyDescent="0.25">
      <c r="A514" t="s">
        <v>16</v>
      </c>
      <c r="B514" t="s">
        <v>620</v>
      </c>
      <c r="C514" t="s">
        <v>1111</v>
      </c>
      <c r="D514" t="s">
        <v>1119</v>
      </c>
      <c r="E514">
        <v>64.19</v>
      </c>
      <c r="F514">
        <v>933556</v>
      </c>
      <c r="G514" t="s">
        <v>1130</v>
      </c>
      <c r="H514" t="s">
        <v>1133</v>
      </c>
    </row>
    <row r="515" spans="1:8" x14ac:dyDescent="0.25">
      <c r="A515" t="s">
        <v>22</v>
      </c>
      <c r="B515" t="s">
        <v>621</v>
      </c>
      <c r="C515" t="s">
        <v>1111</v>
      </c>
      <c r="D515" t="s">
        <v>1121</v>
      </c>
      <c r="E515">
        <v>90.53</v>
      </c>
      <c r="F515">
        <v>645462</v>
      </c>
      <c r="G515" t="s">
        <v>1131</v>
      </c>
      <c r="H515" t="s">
        <v>1133</v>
      </c>
    </row>
    <row r="516" spans="1:8" x14ac:dyDescent="0.25">
      <c r="A516" t="s">
        <v>41</v>
      </c>
      <c r="B516" t="s">
        <v>622</v>
      </c>
      <c r="C516" t="s">
        <v>1108</v>
      </c>
      <c r="D516" t="s">
        <v>1121</v>
      </c>
      <c r="E516">
        <v>73.69</v>
      </c>
      <c r="F516">
        <v>241074</v>
      </c>
      <c r="G516" t="s">
        <v>1130</v>
      </c>
      <c r="H516" t="s">
        <v>1133</v>
      </c>
    </row>
    <row r="517" spans="1:8" x14ac:dyDescent="0.25">
      <c r="A517" t="s">
        <v>25</v>
      </c>
      <c r="B517" t="s">
        <v>623</v>
      </c>
      <c r="C517" t="s">
        <v>1109</v>
      </c>
      <c r="D517" t="s">
        <v>1124</v>
      </c>
      <c r="E517">
        <v>45.82</v>
      </c>
      <c r="F517">
        <v>423536</v>
      </c>
      <c r="G517" t="s">
        <v>1132</v>
      </c>
      <c r="H517" t="s">
        <v>1133</v>
      </c>
    </row>
    <row r="518" spans="1:8" x14ac:dyDescent="0.25">
      <c r="A518" t="s">
        <v>62</v>
      </c>
      <c r="B518" t="s">
        <v>624</v>
      </c>
      <c r="C518" t="s">
        <v>1115</v>
      </c>
      <c r="D518" t="s">
        <v>1127</v>
      </c>
      <c r="E518">
        <v>99.87</v>
      </c>
      <c r="F518">
        <v>251723</v>
      </c>
      <c r="G518" t="s">
        <v>1129</v>
      </c>
      <c r="H518" t="s">
        <v>1133</v>
      </c>
    </row>
    <row r="519" spans="1:8" x14ac:dyDescent="0.25">
      <c r="A519" t="s">
        <v>82</v>
      </c>
      <c r="B519" t="s">
        <v>625</v>
      </c>
      <c r="C519" t="s">
        <v>1109</v>
      </c>
      <c r="D519" t="s">
        <v>1123</v>
      </c>
      <c r="E519">
        <v>62.17</v>
      </c>
      <c r="F519">
        <v>526331</v>
      </c>
      <c r="G519" t="s">
        <v>1129</v>
      </c>
      <c r="H519" t="s">
        <v>1133</v>
      </c>
    </row>
    <row r="520" spans="1:8" x14ac:dyDescent="0.25">
      <c r="A520" t="s">
        <v>72</v>
      </c>
      <c r="B520" t="s">
        <v>626</v>
      </c>
      <c r="C520" t="s">
        <v>1110</v>
      </c>
      <c r="D520" t="s">
        <v>1121</v>
      </c>
      <c r="E520">
        <v>93.77</v>
      </c>
      <c r="F520">
        <v>664561</v>
      </c>
      <c r="G520" t="s">
        <v>1129</v>
      </c>
      <c r="H520" t="s">
        <v>1134</v>
      </c>
    </row>
    <row r="521" spans="1:8" x14ac:dyDescent="0.25">
      <c r="A521" t="s">
        <v>57</v>
      </c>
      <c r="B521" t="s">
        <v>627</v>
      </c>
      <c r="C521" t="s">
        <v>1108</v>
      </c>
      <c r="D521" t="s">
        <v>1125</v>
      </c>
      <c r="E521">
        <v>92.23</v>
      </c>
      <c r="F521">
        <v>394903</v>
      </c>
      <c r="G521" t="s">
        <v>1130</v>
      </c>
      <c r="H521" t="s">
        <v>1134</v>
      </c>
    </row>
    <row r="522" spans="1:8" x14ac:dyDescent="0.25">
      <c r="A522" t="s">
        <v>68</v>
      </c>
      <c r="B522" t="s">
        <v>628</v>
      </c>
      <c r="C522" t="s">
        <v>1112</v>
      </c>
      <c r="D522" t="s">
        <v>1123</v>
      </c>
      <c r="E522">
        <v>83.7</v>
      </c>
      <c r="F522">
        <v>806822</v>
      </c>
      <c r="G522" t="s">
        <v>1128</v>
      </c>
      <c r="H522" t="s">
        <v>1134</v>
      </c>
    </row>
    <row r="523" spans="1:8" x14ac:dyDescent="0.25">
      <c r="A523" t="s">
        <v>33</v>
      </c>
      <c r="B523" t="s">
        <v>629</v>
      </c>
      <c r="C523" t="s">
        <v>1109</v>
      </c>
      <c r="D523" t="s">
        <v>1120</v>
      </c>
      <c r="E523">
        <v>84.8</v>
      </c>
      <c r="F523">
        <v>316969</v>
      </c>
      <c r="G523" t="s">
        <v>1129</v>
      </c>
      <c r="H523" t="s">
        <v>1133</v>
      </c>
    </row>
    <row r="524" spans="1:8" x14ac:dyDescent="0.25">
      <c r="A524" t="s">
        <v>92</v>
      </c>
      <c r="B524" t="s">
        <v>630</v>
      </c>
      <c r="C524" t="s">
        <v>1112</v>
      </c>
      <c r="D524" t="s">
        <v>1122</v>
      </c>
      <c r="E524">
        <v>65.89</v>
      </c>
      <c r="F524">
        <v>610848</v>
      </c>
      <c r="G524" t="s">
        <v>1128</v>
      </c>
      <c r="H524" t="s">
        <v>1134</v>
      </c>
    </row>
    <row r="525" spans="1:8" x14ac:dyDescent="0.25">
      <c r="A525" t="s">
        <v>12</v>
      </c>
      <c r="B525" t="s">
        <v>631</v>
      </c>
      <c r="C525" t="s">
        <v>1110</v>
      </c>
      <c r="D525" t="s">
        <v>1127</v>
      </c>
      <c r="E525">
        <v>95.88</v>
      </c>
      <c r="F525">
        <v>575026</v>
      </c>
      <c r="G525" t="s">
        <v>1129</v>
      </c>
      <c r="H525" t="s">
        <v>1134</v>
      </c>
    </row>
    <row r="526" spans="1:8" x14ac:dyDescent="0.25">
      <c r="A526" t="s">
        <v>30</v>
      </c>
      <c r="B526" t="s">
        <v>632</v>
      </c>
      <c r="C526" t="s">
        <v>1115</v>
      </c>
      <c r="D526" t="s">
        <v>1122</v>
      </c>
      <c r="E526">
        <v>99.13</v>
      </c>
      <c r="F526">
        <v>346518</v>
      </c>
      <c r="G526" t="s">
        <v>1130</v>
      </c>
      <c r="H526" t="s">
        <v>1133</v>
      </c>
    </row>
    <row r="527" spans="1:8" x14ac:dyDescent="0.25">
      <c r="A527" t="s">
        <v>104</v>
      </c>
      <c r="B527" t="s">
        <v>633</v>
      </c>
      <c r="C527" t="s">
        <v>1108</v>
      </c>
      <c r="D527" t="s">
        <v>1123</v>
      </c>
      <c r="E527">
        <v>87.89</v>
      </c>
      <c r="F527">
        <v>744996</v>
      </c>
      <c r="G527" t="s">
        <v>1132</v>
      </c>
      <c r="H527" t="s">
        <v>1133</v>
      </c>
    </row>
    <row r="528" spans="1:8" x14ac:dyDescent="0.25">
      <c r="A528" t="s">
        <v>70</v>
      </c>
      <c r="B528" t="s">
        <v>634</v>
      </c>
      <c r="C528" t="s">
        <v>1114</v>
      </c>
      <c r="D528" t="s">
        <v>1125</v>
      </c>
      <c r="E528">
        <v>56.39</v>
      </c>
      <c r="F528">
        <v>143646</v>
      </c>
      <c r="G528" t="s">
        <v>1131</v>
      </c>
      <c r="H528" t="s">
        <v>1134</v>
      </c>
    </row>
    <row r="529" spans="1:8" x14ac:dyDescent="0.25">
      <c r="A529" t="s">
        <v>78</v>
      </c>
      <c r="B529" t="s">
        <v>635</v>
      </c>
      <c r="C529" t="s">
        <v>1114</v>
      </c>
      <c r="D529" t="s">
        <v>1127</v>
      </c>
      <c r="E529">
        <v>82.42</v>
      </c>
      <c r="F529">
        <v>645639</v>
      </c>
      <c r="G529" t="s">
        <v>1131</v>
      </c>
      <c r="H529" t="s">
        <v>1133</v>
      </c>
    </row>
    <row r="530" spans="1:8" x14ac:dyDescent="0.25">
      <c r="A530" t="s">
        <v>49</v>
      </c>
      <c r="B530" t="s">
        <v>636</v>
      </c>
      <c r="C530" t="s">
        <v>1108</v>
      </c>
      <c r="D530" t="s">
        <v>1118</v>
      </c>
      <c r="E530">
        <v>56.53</v>
      </c>
      <c r="F530">
        <v>194012</v>
      </c>
      <c r="G530" t="s">
        <v>1128</v>
      </c>
      <c r="H530" t="s">
        <v>1133</v>
      </c>
    </row>
    <row r="531" spans="1:8" x14ac:dyDescent="0.25">
      <c r="A531" t="s">
        <v>49</v>
      </c>
      <c r="B531" t="s">
        <v>637</v>
      </c>
      <c r="C531" t="s">
        <v>1113</v>
      </c>
      <c r="D531" t="s">
        <v>1125</v>
      </c>
      <c r="E531">
        <v>76.36</v>
      </c>
      <c r="F531">
        <v>199190</v>
      </c>
      <c r="G531" t="s">
        <v>1132</v>
      </c>
      <c r="H531" t="s">
        <v>1133</v>
      </c>
    </row>
    <row r="532" spans="1:8" x14ac:dyDescent="0.25">
      <c r="A532" t="s">
        <v>57</v>
      </c>
      <c r="B532" t="s">
        <v>638</v>
      </c>
      <c r="C532" t="s">
        <v>1110</v>
      </c>
      <c r="D532" t="s">
        <v>1120</v>
      </c>
      <c r="E532">
        <v>35.42</v>
      </c>
      <c r="F532">
        <v>555410</v>
      </c>
      <c r="G532" t="s">
        <v>1129</v>
      </c>
      <c r="H532" t="s">
        <v>1134</v>
      </c>
    </row>
    <row r="533" spans="1:8" x14ac:dyDescent="0.25">
      <c r="A533" t="s">
        <v>20</v>
      </c>
      <c r="B533" t="s">
        <v>639</v>
      </c>
      <c r="C533" t="s">
        <v>1112</v>
      </c>
      <c r="D533" t="s">
        <v>1127</v>
      </c>
      <c r="E533">
        <v>69.16</v>
      </c>
      <c r="F533">
        <v>312497</v>
      </c>
      <c r="G533" t="s">
        <v>1129</v>
      </c>
      <c r="H533" t="s">
        <v>1133</v>
      </c>
    </row>
    <row r="534" spans="1:8" x14ac:dyDescent="0.25">
      <c r="A534" t="s">
        <v>56</v>
      </c>
      <c r="B534" t="s">
        <v>640</v>
      </c>
      <c r="C534" t="s">
        <v>1117</v>
      </c>
      <c r="D534" t="s">
        <v>1121</v>
      </c>
      <c r="E534">
        <v>44.95</v>
      </c>
      <c r="F534">
        <v>240153</v>
      </c>
      <c r="G534" t="s">
        <v>1128</v>
      </c>
      <c r="H534" t="s">
        <v>1134</v>
      </c>
    </row>
    <row r="535" spans="1:8" x14ac:dyDescent="0.25">
      <c r="A535" t="s">
        <v>29</v>
      </c>
      <c r="B535" t="s">
        <v>641</v>
      </c>
      <c r="C535" t="s">
        <v>1115</v>
      </c>
      <c r="D535" t="s">
        <v>1127</v>
      </c>
      <c r="E535">
        <v>73.489999999999995</v>
      </c>
      <c r="F535">
        <v>644244</v>
      </c>
      <c r="G535" t="s">
        <v>1130</v>
      </c>
      <c r="H535" t="s">
        <v>1133</v>
      </c>
    </row>
    <row r="536" spans="1:8" x14ac:dyDescent="0.25">
      <c r="A536" t="s">
        <v>45</v>
      </c>
      <c r="B536" t="s">
        <v>642</v>
      </c>
      <c r="C536" t="s">
        <v>1110</v>
      </c>
      <c r="D536" t="s">
        <v>1124</v>
      </c>
      <c r="E536">
        <v>46.85</v>
      </c>
      <c r="F536">
        <v>796996</v>
      </c>
      <c r="G536" t="s">
        <v>1128</v>
      </c>
      <c r="H536" t="s">
        <v>1134</v>
      </c>
    </row>
    <row r="537" spans="1:8" x14ac:dyDescent="0.25">
      <c r="A537" t="s">
        <v>58</v>
      </c>
      <c r="B537" t="s">
        <v>643</v>
      </c>
      <c r="C537" t="s">
        <v>1111</v>
      </c>
      <c r="D537" t="s">
        <v>1125</v>
      </c>
      <c r="E537">
        <v>42.12</v>
      </c>
      <c r="F537">
        <v>867676</v>
      </c>
      <c r="G537" t="s">
        <v>1132</v>
      </c>
      <c r="H537" t="s">
        <v>1134</v>
      </c>
    </row>
    <row r="538" spans="1:8" x14ac:dyDescent="0.25">
      <c r="A538" t="s">
        <v>103</v>
      </c>
      <c r="B538" t="s">
        <v>644</v>
      </c>
      <c r="C538" t="s">
        <v>1108</v>
      </c>
      <c r="D538" t="s">
        <v>1124</v>
      </c>
      <c r="E538">
        <v>40.97</v>
      </c>
      <c r="F538">
        <v>931099</v>
      </c>
      <c r="G538" t="s">
        <v>1132</v>
      </c>
      <c r="H538" t="s">
        <v>1133</v>
      </c>
    </row>
    <row r="539" spans="1:8" x14ac:dyDescent="0.25">
      <c r="A539" t="s">
        <v>10</v>
      </c>
      <c r="B539" t="s">
        <v>645</v>
      </c>
      <c r="C539" t="s">
        <v>1116</v>
      </c>
      <c r="D539" t="s">
        <v>1120</v>
      </c>
      <c r="E539">
        <v>80.489999999999995</v>
      </c>
      <c r="F539">
        <v>691871</v>
      </c>
      <c r="G539" t="s">
        <v>1132</v>
      </c>
      <c r="H539" t="s">
        <v>1133</v>
      </c>
    </row>
    <row r="540" spans="1:8" x14ac:dyDescent="0.25">
      <c r="A540" t="s">
        <v>10</v>
      </c>
      <c r="B540" t="s">
        <v>646</v>
      </c>
      <c r="C540" t="s">
        <v>1117</v>
      </c>
      <c r="D540" t="s">
        <v>1124</v>
      </c>
      <c r="E540">
        <v>51.61</v>
      </c>
      <c r="F540">
        <v>979285</v>
      </c>
      <c r="G540" t="s">
        <v>1128</v>
      </c>
      <c r="H540" t="s">
        <v>1133</v>
      </c>
    </row>
    <row r="541" spans="1:8" x14ac:dyDescent="0.25">
      <c r="A541" t="s">
        <v>40</v>
      </c>
      <c r="B541" t="s">
        <v>647</v>
      </c>
      <c r="C541" t="s">
        <v>1109</v>
      </c>
      <c r="D541" t="s">
        <v>1123</v>
      </c>
      <c r="E541">
        <v>88.3</v>
      </c>
      <c r="F541">
        <v>679736</v>
      </c>
      <c r="G541" t="s">
        <v>1132</v>
      </c>
      <c r="H541" t="s">
        <v>1133</v>
      </c>
    </row>
    <row r="542" spans="1:8" x14ac:dyDescent="0.25">
      <c r="A542" t="s">
        <v>52</v>
      </c>
      <c r="B542" t="s">
        <v>648</v>
      </c>
      <c r="C542" t="s">
        <v>1113</v>
      </c>
      <c r="D542" t="s">
        <v>1123</v>
      </c>
      <c r="E542">
        <v>91.67</v>
      </c>
      <c r="F542">
        <v>621573</v>
      </c>
      <c r="G542" t="s">
        <v>1129</v>
      </c>
      <c r="H542" t="s">
        <v>1133</v>
      </c>
    </row>
    <row r="543" spans="1:8" x14ac:dyDescent="0.25">
      <c r="A543" t="s">
        <v>53</v>
      </c>
      <c r="B543" t="s">
        <v>649</v>
      </c>
      <c r="C543" t="s">
        <v>1113</v>
      </c>
      <c r="D543" t="s">
        <v>1123</v>
      </c>
      <c r="E543">
        <v>74.87</v>
      </c>
      <c r="F543">
        <v>969783</v>
      </c>
      <c r="G543" t="s">
        <v>1131</v>
      </c>
      <c r="H543" t="s">
        <v>1133</v>
      </c>
    </row>
    <row r="544" spans="1:8" x14ac:dyDescent="0.25">
      <c r="A544" t="s">
        <v>27</v>
      </c>
      <c r="B544" t="s">
        <v>650</v>
      </c>
      <c r="C544" t="s">
        <v>1108</v>
      </c>
      <c r="D544" t="s">
        <v>1125</v>
      </c>
      <c r="E544">
        <v>89.93</v>
      </c>
      <c r="F544">
        <v>977250</v>
      </c>
      <c r="G544" t="s">
        <v>1130</v>
      </c>
      <c r="H544" t="s">
        <v>1133</v>
      </c>
    </row>
    <row r="545" spans="1:8" x14ac:dyDescent="0.25">
      <c r="A545" t="s">
        <v>53</v>
      </c>
      <c r="B545" t="s">
        <v>651</v>
      </c>
      <c r="C545" t="s">
        <v>1110</v>
      </c>
      <c r="D545" t="s">
        <v>1124</v>
      </c>
      <c r="E545">
        <v>58.23</v>
      </c>
      <c r="F545">
        <v>844243</v>
      </c>
      <c r="G545" t="s">
        <v>1130</v>
      </c>
      <c r="H545" t="s">
        <v>1133</v>
      </c>
    </row>
    <row r="546" spans="1:8" x14ac:dyDescent="0.25">
      <c r="A546" t="s">
        <v>13</v>
      </c>
      <c r="B546" t="s">
        <v>652</v>
      </c>
      <c r="C546" t="s">
        <v>1113</v>
      </c>
      <c r="D546" t="s">
        <v>1120</v>
      </c>
      <c r="E546">
        <v>56.97</v>
      </c>
      <c r="F546">
        <v>389797</v>
      </c>
      <c r="G546" t="s">
        <v>1131</v>
      </c>
      <c r="H546" t="s">
        <v>1134</v>
      </c>
    </row>
    <row r="547" spans="1:8" x14ac:dyDescent="0.25">
      <c r="A547" t="s">
        <v>103</v>
      </c>
      <c r="B547" t="s">
        <v>653</v>
      </c>
      <c r="C547" t="s">
        <v>1117</v>
      </c>
      <c r="D547" t="s">
        <v>1125</v>
      </c>
      <c r="E547">
        <v>58.22</v>
      </c>
      <c r="F547">
        <v>961922</v>
      </c>
      <c r="G547" t="s">
        <v>1132</v>
      </c>
      <c r="H547" t="s">
        <v>1134</v>
      </c>
    </row>
    <row r="548" spans="1:8" x14ac:dyDescent="0.25">
      <c r="A548" t="s">
        <v>18</v>
      </c>
      <c r="B548" t="s">
        <v>654</v>
      </c>
      <c r="C548" t="s">
        <v>1112</v>
      </c>
      <c r="D548" t="s">
        <v>1120</v>
      </c>
      <c r="E548">
        <v>51.82</v>
      </c>
      <c r="F548">
        <v>862543</v>
      </c>
      <c r="G548" t="s">
        <v>1129</v>
      </c>
      <c r="H548" t="s">
        <v>1134</v>
      </c>
    </row>
    <row r="549" spans="1:8" x14ac:dyDescent="0.25">
      <c r="A549" t="s">
        <v>18</v>
      </c>
      <c r="B549" t="s">
        <v>655</v>
      </c>
      <c r="C549" t="s">
        <v>1115</v>
      </c>
      <c r="D549" t="s">
        <v>1118</v>
      </c>
      <c r="E549">
        <v>86.53</v>
      </c>
      <c r="F549">
        <v>304492</v>
      </c>
      <c r="G549" t="s">
        <v>1128</v>
      </c>
      <c r="H549" t="s">
        <v>1133</v>
      </c>
    </row>
    <row r="550" spans="1:8" x14ac:dyDescent="0.25">
      <c r="A550" t="s">
        <v>101</v>
      </c>
      <c r="B550" t="s">
        <v>656</v>
      </c>
      <c r="C550" t="s">
        <v>1114</v>
      </c>
      <c r="D550" t="s">
        <v>1121</v>
      </c>
      <c r="E550">
        <v>99.64</v>
      </c>
      <c r="F550">
        <v>444131</v>
      </c>
      <c r="G550" t="s">
        <v>1130</v>
      </c>
      <c r="H550" t="s">
        <v>1134</v>
      </c>
    </row>
    <row r="551" spans="1:8" x14ac:dyDescent="0.25">
      <c r="A551" t="s">
        <v>9</v>
      </c>
      <c r="B551" t="s">
        <v>657</v>
      </c>
      <c r="C551" t="s">
        <v>1110</v>
      </c>
      <c r="D551" t="s">
        <v>1124</v>
      </c>
      <c r="E551">
        <v>84.73</v>
      </c>
      <c r="F551">
        <v>723650</v>
      </c>
      <c r="G551" t="s">
        <v>1129</v>
      </c>
      <c r="H551" t="s">
        <v>1134</v>
      </c>
    </row>
    <row r="552" spans="1:8" x14ac:dyDescent="0.25">
      <c r="A552" t="s">
        <v>17</v>
      </c>
      <c r="B552" t="s">
        <v>658</v>
      </c>
      <c r="C552" t="s">
        <v>1113</v>
      </c>
      <c r="D552" t="s">
        <v>1124</v>
      </c>
      <c r="E552">
        <v>37.979999999999997</v>
      </c>
      <c r="F552">
        <v>991833</v>
      </c>
      <c r="G552" t="s">
        <v>1129</v>
      </c>
      <c r="H552" t="s">
        <v>1133</v>
      </c>
    </row>
    <row r="553" spans="1:8" x14ac:dyDescent="0.25">
      <c r="A553" t="s">
        <v>60</v>
      </c>
      <c r="B553" t="s">
        <v>659</v>
      </c>
      <c r="C553" t="s">
        <v>1113</v>
      </c>
      <c r="D553" t="s">
        <v>1118</v>
      </c>
      <c r="E553">
        <v>54.12</v>
      </c>
      <c r="F553">
        <v>179343</v>
      </c>
      <c r="G553" t="s">
        <v>1128</v>
      </c>
      <c r="H553" t="s">
        <v>1134</v>
      </c>
    </row>
    <row r="554" spans="1:8" x14ac:dyDescent="0.25">
      <c r="A554" t="s">
        <v>100</v>
      </c>
      <c r="B554" t="s">
        <v>660</v>
      </c>
      <c r="C554" t="s">
        <v>1116</v>
      </c>
      <c r="D554" t="s">
        <v>1124</v>
      </c>
      <c r="E554">
        <v>58.52</v>
      </c>
      <c r="F554">
        <v>865393</v>
      </c>
      <c r="G554" t="s">
        <v>1132</v>
      </c>
      <c r="H554" t="s">
        <v>1134</v>
      </c>
    </row>
    <row r="555" spans="1:8" x14ac:dyDescent="0.25">
      <c r="A555" t="s">
        <v>100</v>
      </c>
      <c r="B555" t="s">
        <v>661</v>
      </c>
      <c r="C555" t="s">
        <v>1109</v>
      </c>
      <c r="D555" t="s">
        <v>1122</v>
      </c>
      <c r="E555">
        <v>88.4</v>
      </c>
      <c r="F555">
        <v>288604</v>
      </c>
      <c r="G555" t="s">
        <v>1130</v>
      </c>
      <c r="H555" t="s">
        <v>1133</v>
      </c>
    </row>
    <row r="556" spans="1:8" x14ac:dyDescent="0.25">
      <c r="A556" t="s">
        <v>71</v>
      </c>
      <c r="B556" t="s">
        <v>662</v>
      </c>
      <c r="C556" t="s">
        <v>1110</v>
      </c>
      <c r="D556" t="s">
        <v>1125</v>
      </c>
      <c r="E556">
        <v>83.87</v>
      </c>
      <c r="F556">
        <v>938455</v>
      </c>
      <c r="G556" t="s">
        <v>1128</v>
      </c>
      <c r="H556" t="s">
        <v>1133</v>
      </c>
    </row>
    <row r="557" spans="1:8" x14ac:dyDescent="0.25">
      <c r="A557" t="s">
        <v>44</v>
      </c>
      <c r="B557" t="s">
        <v>663</v>
      </c>
      <c r="C557" t="s">
        <v>1114</v>
      </c>
      <c r="D557" t="s">
        <v>1127</v>
      </c>
      <c r="E557">
        <v>37.799999999999997</v>
      </c>
      <c r="F557">
        <v>595089</v>
      </c>
      <c r="G557" t="s">
        <v>1128</v>
      </c>
      <c r="H557" t="s">
        <v>1133</v>
      </c>
    </row>
    <row r="558" spans="1:8" x14ac:dyDescent="0.25">
      <c r="A558" t="s">
        <v>9</v>
      </c>
      <c r="B558" t="s">
        <v>664</v>
      </c>
      <c r="C558" t="s">
        <v>1115</v>
      </c>
      <c r="D558" t="s">
        <v>1123</v>
      </c>
      <c r="E558">
        <v>47.84</v>
      </c>
      <c r="F558">
        <v>634882</v>
      </c>
      <c r="G558" t="s">
        <v>1131</v>
      </c>
      <c r="H558" t="s">
        <v>1133</v>
      </c>
    </row>
    <row r="559" spans="1:8" x14ac:dyDescent="0.25">
      <c r="A559" t="s">
        <v>92</v>
      </c>
      <c r="B559" t="s">
        <v>665</v>
      </c>
      <c r="C559" t="s">
        <v>1108</v>
      </c>
      <c r="D559" t="s">
        <v>1118</v>
      </c>
      <c r="E559">
        <v>67.05</v>
      </c>
      <c r="F559">
        <v>122778</v>
      </c>
      <c r="G559" t="s">
        <v>1131</v>
      </c>
      <c r="H559" t="s">
        <v>1133</v>
      </c>
    </row>
    <row r="560" spans="1:8" x14ac:dyDescent="0.25">
      <c r="A560" t="s">
        <v>32</v>
      </c>
      <c r="B560" t="s">
        <v>666</v>
      </c>
      <c r="C560" t="s">
        <v>1109</v>
      </c>
      <c r="D560" t="s">
        <v>1123</v>
      </c>
      <c r="E560">
        <v>40.89</v>
      </c>
      <c r="F560">
        <v>217708</v>
      </c>
      <c r="G560" t="s">
        <v>1129</v>
      </c>
      <c r="H560" t="s">
        <v>1133</v>
      </c>
    </row>
    <row r="561" spans="1:8" x14ac:dyDescent="0.25">
      <c r="A561" t="s">
        <v>60</v>
      </c>
      <c r="B561" t="s">
        <v>667</v>
      </c>
      <c r="C561" t="s">
        <v>1109</v>
      </c>
      <c r="D561" t="s">
        <v>1124</v>
      </c>
      <c r="E561">
        <v>43.74</v>
      </c>
      <c r="F561">
        <v>773205</v>
      </c>
      <c r="G561" t="s">
        <v>1130</v>
      </c>
      <c r="H561" t="s">
        <v>1133</v>
      </c>
    </row>
    <row r="562" spans="1:8" x14ac:dyDescent="0.25">
      <c r="A562" t="s">
        <v>91</v>
      </c>
      <c r="B562" t="s">
        <v>668</v>
      </c>
      <c r="C562" t="s">
        <v>1111</v>
      </c>
      <c r="D562" t="s">
        <v>1124</v>
      </c>
      <c r="E562">
        <v>42.64</v>
      </c>
      <c r="F562">
        <v>999190</v>
      </c>
      <c r="G562" t="s">
        <v>1128</v>
      </c>
      <c r="H562" t="s">
        <v>1133</v>
      </c>
    </row>
    <row r="563" spans="1:8" x14ac:dyDescent="0.25">
      <c r="A563" t="s">
        <v>56</v>
      </c>
      <c r="B563" t="s">
        <v>669</v>
      </c>
      <c r="C563" t="s">
        <v>1110</v>
      </c>
      <c r="D563" t="s">
        <v>1127</v>
      </c>
      <c r="E563">
        <v>41.64</v>
      </c>
      <c r="F563">
        <v>826807</v>
      </c>
      <c r="G563" t="s">
        <v>1128</v>
      </c>
      <c r="H563" t="s">
        <v>1133</v>
      </c>
    </row>
    <row r="564" spans="1:8" x14ac:dyDescent="0.25">
      <c r="A564" t="s">
        <v>25</v>
      </c>
      <c r="B564" t="s">
        <v>670</v>
      </c>
      <c r="C564" t="s">
        <v>1116</v>
      </c>
      <c r="D564" t="s">
        <v>1126</v>
      </c>
      <c r="E564">
        <v>62.9</v>
      </c>
      <c r="F564">
        <v>806815</v>
      </c>
      <c r="G564" t="s">
        <v>1129</v>
      </c>
      <c r="H564" t="s">
        <v>1134</v>
      </c>
    </row>
    <row r="565" spans="1:8" x14ac:dyDescent="0.25">
      <c r="A565" t="s">
        <v>28</v>
      </c>
      <c r="B565" t="s">
        <v>671</v>
      </c>
      <c r="C565" t="s">
        <v>1109</v>
      </c>
      <c r="D565" t="s">
        <v>1121</v>
      </c>
      <c r="E565">
        <v>83.26</v>
      </c>
      <c r="F565">
        <v>602963</v>
      </c>
      <c r="G565" t="s">
        <v>1130</v>
      </c>
      <c r="H565" t="s">
        <v>1133</v>
      </c>
    </row>
    <row r="566" spans="1:8" x14ac:dyDescent="0.25">
      <c r="A566" t="s">
        <v>56</v>
      </c>
      <c r="B566" t="s">
        <v>672</v>
      </c>
      <c r="C566" t="s">
        <v>1112</v>
      </c>
      <c r="D566" t="s">
        <v>1127</v>
      </c>
      <c r="E566">
        <v>60.43</v>
      </c>
      <c r="F566">
        <v>718025</v>
      </c>
      <c r="G566" t="s">
        <v>1128</v>
      </c>
      <c r="H566" t="s">
        <v>1133</v>
      </c>
    </row>
    <row r="567" spans="1:8" x14ac:dyDescent="0.25">
      <c r="A567" t="s">
        <v>101</v>
      </c>
      <c r="B567" t="s">
        <v>673</v>
      </c>
      <c r="C567" t="s">
        <v>1114</v>
      </c>
      <c r="D567" t="s">
        <v>1121</v>
      </c>
      <c r="E567">
        <v>41.86</v>
      </c>
      <c r="F567">
        <v>488577</v>
      </c>
      <c r="G567" t="s">
        <v>1132</v>
      </c>
      <c r="H567" t="s">
        <v>1134</v>
      </c>
    </row>
    <row r="568" spans="1:8" x14ac:dyDescent="0.25">
      <c r="A568" t="s">
        <v>54</v>
      </c>
      <c r="B568" t="s">
        <v>674</v>
      </c>
      <c r="C568" t="s">
        <v>1113</v>
      </c>
      <c r="D568" t="s">
        <v>1124</v>
      </c>
      <c r="E568">
        <v>68.319999999999993</v>
      </c>
      <c r="F568">
        <v>532915</v>
      </c>
      <c r="G568" t="s">
        <v>1131</v>
      </c>
      <c r="H568" t="s">
        <v>1133</v>
      </c>
    </row>
    <row r="569" spans="1:8" x14ac:dyDescent="0.25">
      <c r="A569" t="s">
        <v>34</v>
      </c>
      <c r="B569" t="s">
        <v>675</v>
      </c>
      <c r="C569" t="s">
        <v>1113</v>
      </c>
      <c r="D569" t="s">
        <v>1122</v>
      </c>
      <c r="E569">
        <v>87.33</v>
      </c>
      <c r="F569">
        <v>877404</v>
      </c>
      <c r="G569" t="s">
        <v>1130</v>
      </c>
      <c r="H569" t="s">
        <v>1134</v>
      </c>
    </row>
    <row r="570" spans="1:8" x14ac:dyDescent="0.25">
      <c r="A570" t="s">
        <v>49</v>
      </c>
      <c r="B570" t="s">
        <v>676</v>
      </c>
      <c r="C570" t="s">
        <v>1115</v>
      </c>
      <c r="D570" t="s">
        <v>1123</v>
      </c>
      <c r="E570">
        <v>99.18</v>
      </c>
      <c r="F570">
        <v>625394</v>
      </c>
      <c r="G570" t="s">
        <v>1130</v>
      </c>
      <c r="H570" t="s">
        <v>1133</v>
      </c>
    </row>
    <row r="571" spans="1:8" x14ac:dyDescent="0.25">
      <c r="A571" t="s">
        <v>82</v>
      </c>
      <c r="B571" t="s">
        <v>677</v>
      </c>
      <c r="C571" t="s">
        <v>1109</v>
      </c>
      <c r="D571" t="s">
        <v>1122</v>
      </c>
      <c r="E571">
        <v>98.31</v>
      </c>
      <c r="F571">
        <v>242731</v>
      </c>
      <c r="G571" t="s">
        <v>1131</v>
      </c>
      <c r="H571" t="s">
        <v>1133</v>
      </c>
    </row>
    <row r="572" spans="1:8" x14ac:dyDescent="0.25">
      <c r="A572" t="s">
        <v>83</v>
      </c>
      <c r="B572" t="s">
        <v>678</v>
      </c>
      <c r="C572" t="s">
        <v>1113</v>
      </c>
      <c r="D572" t="s">
        <v>1123</v>
      </c>
      <c r="E572">
        <v>59.92</v>
      </c>
      <c r="F572">
        <v>880029</v>
      </c>
      <c r="G572" t="s">
        <v>1128</v>
      </c>
      <c r="H572" t="s">
        <v>1134</v>
      </c>
    </row>
    <row r="573" spans="1:8" x14ac:dyDescent="0.25">
      <c r="A573" t="s">
        <v>57</v>
      </c>
      <c r="B573" t="s">
        <v>679</v>
      </c>
      <c r="C573" t="s">
        <v>1116</v>
      </c>
      <c r="D573" t="s">
        <v>1121</v>
      </c>
      <c r="E573">
        <v>94.07</v>
      </c>
      <c r="F573">
        <v>761586</v>
      </c>
      <c r="G573" t="s">
        <v>1129</v>
      </c>
      <c r="H573" t="s">
        <v>1133</v>
      </c>
    </row>
    <row r="574" spans="1:8" x14ac:dyDescent="0.25">
      <c r="A574" t="s">
        <v>20</v>
      </c>
      <c r="B574" t="s">
        <v>680</v>
      </c>
      <c r="C574" t="s">
        <v>1117</v>
      </c>
      <c r="D574" t="s">
        <v>1123</v>
      </c>
      <c r="E574">
        <v>48.72</v>
      </c>
      <c r="F574">
        <v>179396</v>
      </c>
      <c r="G574" t="s">
        <v>1132</v>
      </c>
      <c r="H574" t="s">
        <v>1133</v>
      </c>
    </row>
    <row r="575" spans="1:8" x14ac:dyDescent="0.25">
      <c r="A575" t="s">
        <v>49</v>
      </c>
      <c r="B575" t="s">
        <v>681</v>
      </c>
      <c r="C575" t="s">
        <v>1114</v>
      </c>
      <c r="D575" t="s">
        <v>1127</v>
      </c>
      <c r="E575">
        <v>60.36</v>
      </c>
      <c r="F575">
        <v>885508</v>
      </c>
      <c r="G575" t="s">
        <v>1131</v>
      </c>
      <c r="H575" t="s">
        <v>1133</v>
      </c>
    </row>
    <row r="576" spans="1:8" x14ac:dyDescent="0.25">
      <c r="A576" t="s">
        <v>29</v>
      </c>
      <c r="B576" t="s">
        <v>682</v>
      </c>
      <c r="C576" t="s">
        <v>1114</v>
      </c>
      <c r="D576" t="s">
        <v>1126</v>
      </c>
      <c r="E576">
        <v>66.17</v>
      </c>
      <c r="F576">
        <v>595064</v>
      </c>
      <c r="G576" t="s">
        <v>1131</v>
      </c>
      <c r="H576" t="s">
        <v>1133</v>
      </c>
    </row>
    <row r="577" spans="1:8" x14ac:dyDescent="0.25">
      <c r="A577" t="s">
        <v>105</v>
      </c>
      <c r="B577" t="s">
        <v>683</v>
      </c>
      <c r="C577" t="s">
        <v>1109</v>
      </c>
      <c r="D577" t="s">
        <v>1127</v>
      </c>
      <c r="E577">
        <v>99.82</v>
      </c>
      <c r="F577">
        <v>744873</v>
      </c>
      <c r="G577" t="s">
        <v>1128</v>
      </c>
      <c r="H577" t="s">
        <v>1134</v>
      </c>
    </row>
    <row r="578" spans="1:8" x14ac:dyDescent="0.25">
      <c r="A578" t="s">
        <v>49</v>
      </c>
      <c r="B578" t="s">
        <v>684</v>
      </c>
      <c r="C578" t="s">
        <v>1111</v>
      </c>
      <c r="D578" t="s">
        <v>1118</v>
      </c>
      <c r="E578">
        <v>87.49</v>
      </c>
      <c r="F578">
        <v>497698</v>
      </c>
      <c r="G578" t="s">
        <v>1130</v>
      </c>
      <c r="H578" t="s">
        <v>1134</v>
      </c>
    </row>
    <row r="579" spans="1:8" x14ac:dyDescent="0.25">
      <c r="A579" t="s">
        <v>75</v>
      </c>
      <c r="B579" t="s">
        <v>685</v>
      </c>
      <c r="C579" t="s">
        <v>1108</v>
      </c>
      <c r="D579" t="s">
        <v>1124</v>
      </c>
      <c r="E579">
        <v>47.59</v>
      </c>
      <c r="F579">
        <v>830727</v>
      </c>
      <c r="G579" t="s">
        <v>1128</v>
      </c>
      <c r="H579" t="s">
        <v>1133</v>
      </c>
    </row>
    <row r="580" spans="1:8" x14ac:dyDescent="0.25">
      <c r="A580" t="s">
        <v>92</v>
      </c>
      <c r="B580" t="s">
        <v>686</v>
      </c>
      <c r="C580" t="s">
        <v>1117</v>
      </c>
      <c r="D580" t="s">
        <v>1121</v>
      </c>
      <c r="E580">
        <v>38</v>
      </c>
      <c r="F580">
        <v>483763</v>
      </c>
      <c r="G580" t="s">
        <v>1132</v>
      </c>
      <c r="H580" t="s">
        <v>1133</v>
      </c>
    </row>
    <row r="581" spans="1:8" x14ac:dyDescent="0.25">
      <c r="A581" t="s">
        <v>65</v>
      </c>
      <c r="B581" t="s">
        <v>687</v>
      </c>
      <c r="C581" t="s">
        <v>1115</v>
      </c>
      <c r="D581" t="s">
        <v>1125</v>
      </c>
      <c r="E581">
        <v>82.43</v>
      </c>
      <c r="F581">
        <v>601386</v>
      </c>
      <c r="G581" t="s">
        <v>1129</v>
      </c>
      <c r="H581" t="s">
        <v>1134</v>
      </c>
    </row>
    <row r="582" spans="1:8" x14ac:dyDescent="0.25">
      <c r="A582" t="s">
        <v>105</v>
      </c>
      <c r="B582" t="s">
        <v>688</v>
      </c>
      <c r="C582" t="s">
        <v>1114</v>
      </c>
      <c r="D582" t="s">
        <v>1124</v>
      </c>
      <c r="E582">
        <v>91.48</v>
      </c>
      <c r="F582">
        <v>173142</v>
      </c>
      <c r="G582" t="s">
        <v>1132</v>
      </c>
      <c r="H582" t="s">
        <v>1133</v>
      </c>
    </row>
    <row r="583" spans="1:8" x14ac:dyDescent="0.25">
      <c r="A583" t="s">
        <v>84</v>
      </c>
      <c r="B583" t="s">
        <v>689</v>
      </c>
      <c r="C583" t="s">
        <v>1111</v>
      </c>
      <c r="D583" t="s">
        <v>1122</v>
      </c>
      <c r="E583">
        <v>64.97</v>
      </c>
      <c r="F583">
        <v>379408</v>
      </c>
      <c r="G583" t="s">
        <v>1132</v>
      </c>
      <c r="H583" t="s">
        <v>1133</v>
      </c>
    </row>
    <row r="584" spans="1:8" x14ac:dyDescent="0.25">
      <c r="A584" t="s">
        <v>37</v>
      </c>
      <c r="B584" t="s">
        <v>690</v>
      </c>
      <c r="C584" t="s">
        <v>1115</v>
      </c>
      <c r="D584" t="s">
        <v>1125</v>
      </c>
      <c r="E584">
        <v>71.930000000000007</v>
      </c>
      <c r="F584">
        <v>674696</v>
      </c>
      <c r="G584" t="s">
        <v>1131</v>
      </c>
      <c r="H584" t="s">
        <v>1133</v>
      </c>
    </row>
    <row r="585" spans="1:8" x14ac:dyDescent="0.25">
      <c r="A585" t="s">
        <v>98</v>
      </c>
      <c r="B585" t="s">
        <v>691</v>
      </c>
      <c r="C585" t="s">
        <v>1113</v>
      </c>
      <c r="D585" t="s">
        <v>1120</v>
      </c>
      <c r="E585">
        <v>67.84</v>
      </c>
      <c r="F585">
        <v>743985</v>
      </c>
      <c r="G585" t="s">
        <v>1129</v>
      </c>
      <c r="H585" t="s">
        <v>1133</v>
      </c>
    </row>
    <row r="586" spans="1:8" x14ac:dyDescent="0.25">
      <c r="A586" t="s">
        <v>70</v>
      </c>
      <c r="B586" t="s">
        <v>692</v>
      </c>
      <c r="C586" t="s">
        <v>1117</v>
      </c>
      <c r="D586" t="s">
        <v>1127</v>
      </c>
      <c r="E586">
        <v>76.56</v>
      </c>
      <c r="F586">
        <v>171888</v>
      </c>
      <c r="G586" t="s">
        <v>1130</v>
      </c>
      <c r="H586" t="s">
        <v>1133</v>
      </c>
    </row>
    <row r="587" spans="1:8" x14ac:dyDescent="0.25">
      <c r="A587" t="s">
        <v>97</v>
      </c>
      <c r="B587" t="s">
        <v>693</v>
      </c>
      <c r="C587" t="s">
        <v>1108</v>
      </c>
      <c r="D587" t="s">
        <v>1120</v>
      </c>
      <c r="E587">
        <v>35.83</v>
      </c>
      <c r="F587">
        <v>653567</v>
      </c>
      <c r="G587" t="s">
        <v>1130</v>
      </c>
      <c r="H587" t="s">
        <v>1133</v>
      </c>
    </row>
    <row r="588" spans="1:8" x14ac:dyDescent="0.25">
      <c r="A588" t="s">
        <v>78</v>
      </c>
      <c r="B588" t="s">
        <v>694</v>
      </c>
      <c r="C588" t="s">
        <v>1116</v>
      </c>
      <c r="D588" t="s">
        <v>1118</v>
      </c>
      <c r="E588">
        <v>93.3</v>
      </c>
      <c r="F588">
        <v>238490</v>
      </c>
      <c r="G588" t="s">
        <v>1132</v>
      </c>
      <c r="H588" t="s">
        <v>1133</v>
      </c>
    </row>
    <row r="589" spans="1:8" x14ac:dyDescent="0.25">
      <c r="A589" t="s">
        <v>70</v>
      </c>
      <c r="B589" t="s">
        <v>695</v>
      </c>
      <c r="C589" t="s">
        <v>1116</v>
      </c>
      <c r="D589" t="s">
        <v>1127</v>
      </c>
      <c r="E589">
        <v>79.19</v>
      </c>
      <c r="F589">
        <v>553744</v>
      </c>
      <c r="G589" t="s">
        <v>1132</v>
      </c>
      <c r="H589" t="s">
        <v>1134</v>
      </c>
    </row>
    <row r="590" spans="1:8" x14ac:dyDescent="0.25">
      <c r="A590" t="s">
        <v>100</v>
      </c>
      <c r="B590" t="s">
        <v>696</v>
      </c>
      <c r="C590" t="s">
        <v>1115</v>
      </c>
      <c r="D590" t="s">
        <v>1127</v>
      </c>
      <c r="E590">
        <v>97.87</v>
      </c>
      <c r="F590">
        <v>946513</v>
      </c>
      <c r="G590" t="s">
        <v>1129</v>
      </c>
      <c r="H590" t="s">
        <v>1133</v>
      </c>
    </row>
    <row r="591" spans="1:8" x14ac:dyDescent="0.25">
      <c r="A591" t="s">
        <v>33</v>
      </c>
      <c r="B591" t="s">
        <v>697</v>
      </c>
      <c r="C591" t="s">
        <v>1117</v>
      </c>
      <c r="D591" t="s">
        <v>1126</v>
      </c>
      <c r="E591">
        <v>78.84</v>
      </c>
      <c r="F591">
        <v>401485</v>
      </c>
      <c r="G591" t="s">
        <v>1131</v>
      </c>
      <c r="H591" t="s">
        <v>1133</v>
      </c>
    </row>
    <row r="592" spans="1:8" x14ac:dyDescent="0.25">
      <c r="A592" t="s">
        <v>32</v>
      </c>
      <c r="B592" t="s">
        <v>698</v>
      </c>
      <c r="C592" t="s">
        <v>1117</v>
      </c>
      <c r="D592" t="s">
        <v>1122</v>
      </c>
      <c r="E592">
        <v>46.42</v>
      </c>
      <c r="F592">
        <v>554138</v>
      </c>
      <c r="G592" t="s">
        <v>1128</v>
      </c>
      <c r="H592" t="s">
        <v>1133</v>
      </c>
    </row>
    <row r="593" spans="1:8" x14ac:dyDescent="0.25">
      <c r="A593" t="s">
        <v>92</v>
      </c>
      <c r="B593" t="s">
        <v>699</v>
      </c>
      <c r="C593" t="s">
        <v>1113</v>
      </c>
      <c r="D593" t="s">
        <v>1121</v>
      </c>
      <c r="E593">
        <v>83.36</v>
      </c>
      <c r="F593">
        <v>730086</v>
      </c>
      <c r="G593" t="s">
        <v>1129</v>
      </c>
      <c r="H593" t="s">
        <v>1134</v>
      </c>
    </row>
    <row r="594" spans="1:8" x14ac:dyDescent="0.25">
      <c r="A594" t="s">
        <v>10</v>
      </c>
      <c r="B594" t="s">
        <v>700</v>
      </c>
      <c r="C594" t="s">
        <v>1116</v>
      </c>
      <c r="D594" t="s">
        <v>1123</v>
      </c>
      <c r="E594">
        <v>55.38</v>
      </c>
      <c r="F594">
        <v>457790</v>
      </c>
      <c r="G594" t="s">
        <v>1130</v>
      </c>
      <c r="H594" t="s">
        <v>1133</v>
      </c>
    </row>
    <row r="595" spans="1:8" x14ac:dyDescent="0.25">
      <c r="A595" t="s">
        <v>36</v>
      </c>
      <c r="B595" t="s">
        <v>701</v>
      </c>
      <c r="C595" t="s">
        <v>1111</v>
      </c>
      <c r="D595" t="s">
        <v>1125</v>
      </c>
      <c r="E595">
        <v>51.27</v>
      </c>
      <c r="F595">
        <v>704677</v>
      </c>
      <c r="G595" t="s">
        <v>1132</v>
      </c>
      <c r="H595" t="s">
        <v>1133</v>
      </c>
    </row>
    <row r="596" spans="1:8" x14ac:dyDescent="0.25">
      <c r="A596" t="s">
        <v>79</v>
      </c>
      <c r="B596" t="s">
        <v>702</v>
      </c>
      <c r="C596" t="s">
        <v>1116</v>
      </c>
      <c r="D596" t="s">
        <v>1119</v>
      </c>
      <c r="E596">
        <v>54.29</v>
      </c>
      <c r="F596">
        <v>213574</v>
      </c>
      <c r="G596" t="s">
        <v>1131</v>
      </c>
      <c r="H596" t="s">
        <v>1133</v>
      </c>
    </row>
    <row r="597" spans="1:8" x14ac:dyDescent="0.25">
      <c r="A597" t="s">
        <v>63</v>
      </c>
      <c r="B597" t="s">
        <v>703</v>
      </c>
      <c r="C597" t="s">
        <v>1113</v>
      </c>
      <c r="D597" t="s">
        <v>1118</v>
      </c>
      <c r="E597">
        <v>70.430000000000007</v>
      </c>
      <c r="F597">
        <v>859519</v>
      </c>
      <c r="G597" t="s">
        <v>1131</v>
      </c>
      <c r="H597" t="s">
        <v>1133</v>
      </c>
    </row>
    <row r="598" spans="1:8" x14ac:dyDescent="0.25">
      <c r="A598" t="s">
        <v>84</v>
      </c>
      <c r="B598" t="s">
        <v>704</v>
      </c>
      <c r="C598" t="s">
        <v>1117</v>
      </c>
      <c r="D598" t="s">
        <v>1126</v>
      </c>
      <c r="E598">
        <v>75.39</v>
      </c>
      <c r="F598">
        <v>341656</v>
      </c>
      <c r="G598" t="s">
        <v>1132</v>
      </c>
      <c r="H598" t="s">
        <v>1134</v>
      </c>
    </row>
    <row r="599" spans="1:8" x14ac:dyDescent="0.25">
      <c r="A599" t="s">
        <v>75</v>
      </c>
      <c r="B599" t="s">
        <v>705</v>
      </c>
      <c r="C599" t="s">
        <v>1113</v>
      </c>
      <c r="D599" t="s">
        <v>1121</v>
      </c>
      <c r="E599">
        <v>56.22</v>
      </c>
      <c r="F599">
        <v>293858</v>
      </c>
      <c r="G599" t="s">
        <v>1129</v>
      </c>
      <c r="H599" t="s">
        <v>1133</v>
      </c>
    </row>
    <row r="600" spans="1:8" x14ac:dyDescent="0.25">
      <c r="A600" t="s">
        <v>42</v>
      </c>
      <c r="B600" t="s">
        <v>706</v>
      </c>
      <c r="C600" t="s">
        <v>1110</v>
      </c>
      <c r="D600" t="s">
        <v>1123</v>
      </c>
      <c r="E600">
        <v>72.94</v>
      </c>
      <c r="F600">
        <v>377716</v>
      </c>
      <c r="G600" t="s">
        <v>1129</v>
      </c>
      <c r="H600" t="s">
        <v>1133</v>
      </c>
    </row>
    <row r="601" spans="1:8" x14ac:dyDescent="0.25">
      <c r="A601" t="s">
        <v>76</v>
      </c>
      <c r="B601" t="s">
        <v>707</v>
      </c>
      <c r="C601" t="s">
        <v>1113</v>
      </c>
      <c r="D601" t="s">
        <v>1123</v>
      </c>
      <c r="E601">
        <v>44.91</v>
      </c>
      <c r="F601">
        <v>421963</v>
      </c>
      <c r="G601" t="s">
        <v>1132</v>
      </c>
      <c r="H601" t="s">
        <v>1133</v>
      </c>
    </row>
    <row r="602" spans="1:8" x14ac:dyDescent="0.25">
      <c r="A602" t="s">
        <v>84</v>
      </c>
      <c r="B602" t="s">
        <v>708</v>
      </c>
      <c r="C602" t="s">
        <v>1117</v>
      </c>
      <c r="D602" t="s">
        <v>1118</v>
      </c>
      <c r="E602">
        <v>74.94</v>
      </c>
      <c r="F602">
        <v>824797</v>
      </c>
      <c r="G602" t="s">
        <v>1131</v>
      </c>
      <c r="H602" t="s">
        <v>1133</v>
      </c>
    </row>
    <row r="603" spans="1:8" x14ac:dyDescent="0.25">
      <c r="A603" t="s">
        <v>67</v>
      </c>
      <c r="B603" t="s">
        <v>709</v>
      </c>
      <c r="C603" t="s">
        <v>1109</v>
      </c>
      <c r="D603" t="s">
        <v>1127</v>
      </c>
      <c r="E603">
        <v>49.67</v>
      </c>
      <c r="F603">
        <v>929961</v>
      </c>
      <c r="G603" t="s">
        <v>1132</v>
      </c>
      <c r="H603" t="s">
        <v>1134</v>
      </c>
    </row>
    <row r="604" spans="1:8" x14ac:dyDescent="0.25">
      <c r="A604" t="s">
        <v>81</v>
      </c>
      <c r="B604" t="s">
        <v>710</v>
      </c>
      <c r="C604" t="s">
        <v>1110</v>
      </c>
      <c r="D604" t="s">
        <v>1127</v>
      </c>
      <c r="E604">
        <v>38.33</v>
      </c>
      <c r="F604">
        <v>128019</v>
      </c>
      <c r="G604" t="s">
        <v>1131</v>
      </c>
      <c r="H604" t="s">
        <v>1134</v>
      </c>
    </row>
    <row r="605" spans="1:8" x14ac:dyDescent="0.25">
      <c r="A605" t="s">
        <v>46</v>
      </c>
      <c r="B605" t="s">
        <v>711</v>
      </c>
      <c r="C605" t="s">
        <v>1113</v>
      </c>
      <c r="D605" t="s">
        <v>1122</v>
      </c>
      <c r="E605">
        <v>74.069999999999993</v>
      </c>
      <c r="F605">
        <v>116363</v>
      </c>
      <c r="G605" t="s">
        <v>1132</v>
      </c>
      <c r="H605" t="s">
        <v>1133</v>
      </c>
    </row>
    <row r="606" spans="1:8" x14ac:dyDescent="0.25">
      <c r="A606" t="s">
        <v>76</v>
      </c>
      <c r="B606" t="s">
        <v>712</v>
      </c>
      <c r="C606" t="s">
        <v>1108</v>
      </c>
      <c r="D606" t="s">
        <v>1125</v>
      </c>
      <c r="E606">
        <v>83.31</v>
      </c>
      <c r="F606">
        <v>180473</v>
      </c>
      <c r="G606" t="s">
        <v>1128</v>
      </c>
      <c r="H606" t="s">
        <v>1134</v>
      </c>
    </row>
    <row r="607" spans="1:8" x14ac:dyDescent="0.25">
      <c r="A607" t="s">
        <v>42</v>
      </c>
      <c r="B607" t="s">
        <v>713</v>
      </c>
      <c r="C607" t="s">
        <v>1110</v>
      </c>
      <c r="D607" t="s">
        <v>1120</v>
      </c>
      <c r="E607">
        <v>80.97</v>
      </c>
      <c r="F607">
        <v>920395</v>
      </c>
      <c r="G607" t="s">
        <v>1129</v>
      </c>
      <c r="H607" t="s">
        <v>1134</v>
      </c>
    </row>
    <row r="608" spans="1:8" x14ac:dyDescent="0.25">
      <c r="A608" t="s">
        <v>63</v>
      </c>
      <c r="B608" t="s">
        <v>714</v>
      </c>
      <c r="C608" t="s">
        <v>1116</v>
      </c>
      <c r="D608" t="s">
        <v>1122</v>
      </c>
      <c r="E608">
        <v>51.99</v>
      </c>
      <c r="F608">
        <v>339748</v>
      </c>
      <c r="G608" t="s">
        <v>1132</v>
      </c>
      <c r="H608" t="s">
        <v>1133</v>
      </c>
    </row>
    <row r="609" spans="1:8" x14ac:dyDescent="0.25">
      <c r="A609" t="s">
        <v>65</v>
      </c>
      <c r="B609" t="s">
        <v>715</v>
      </c>
      <c r="C609" t="s">
        <v>1110</v>
      </c>
      <c r="D609" t="s">
        <v>1121</v>
      </c>
      <c r="E609">
        <v>37.72</v>
      </c>
      <c r="F609">
        <v>730385</v>
      </c>
      <c r="G609" t="s">
        <v>1129</v>
      </c>
      <c r="H609" t="s">
        <v>1133</v>
      </c>
    </row>
    <row r="610" spans="1:8" x14ac:dyDescent="0.25">
      <c r="A610" t="s">
        <v>39</v>
      </c>
      <c r="B610" t="s">
        <v>716</v>
      </c>
      <c r="C610" t="s">
        <v>1113</v>
      </c>
      <c r="D610" t="s">
        <v>1122</v>
      </c>
      <c r="E610">
        <v>88.81</v>
      </c>
      <c r="F610">
        <v>648261</v>
      </c>
      <c r="G610" t="s">
        <v>1129</v>
      </c>
      <c r="H610" t="s">
        <v>1133</v>
      </c>
    </row>
    <row r="611" spans="1:8" x14ac:dyDescent="0.25">
      <c r="A611" t="s">
        <v>51</v>
      </c>
      <c r="B611" t="s">
        <v>717</v>
      </c>
      <c r="C611" t="s">
        <v>1116</v>
      </c>
      <c r="D611" t="s">
        <v>1122</v>
      </c>
      <c r="E611">
        <v>68.91</v>
      </c>
      <c r="F611">
        <v>293985</v>
      </c>
      <c r="G611" t="s">
        <v>1128</v>
      </c>
      <c r="H611" t="s">
        <v>1133</v>
      </c>
    </row>
    <row r="612" spans="1:8" x14ac:dyDescent="0.25">
      <c r="A612" t="s">
        <v>45</v>
      </c>
      <c r="B612" t="s">
        <v>718</v>
      </c>
      <c r="C612" t="s">
        <v>1111</v>
      </c>
      <c r="D612" t="s">
        <v>1119</v>
      </c>
      <c r="E612">
        <v>54.52</v>
      </c>
      <c r="F612">
        <v>561781</v>
      </c>
      <c r="G612" t="s">
        <v>1129</v>
      </c>
      <c r="H612" t="s">
        <v>1134</v>
      </c>
    </row>
    <row r="613" spans="1:8" x14ac:dyDescent="0.25">
      <c r="A613" t="s">
        <v>25</v>
      </c>
      <c r="B613" t="s">
        <v>719</v>
      </c>
      <c r="C613" t="s">
        <v>1111</v>
      </c>
      <c r="D613" t="s">
        <v>1119</v>
      </c>
      <c r="E613">
        <v>66.349999999999994</v>
      </c>
      <c r="F613">
        <v>353135</v>
      </c>
      <c r="G613" t="s">
        <v>1132</v>
      </c>
      <c r="H613" t="s">
        <v>1133</v>
      </c>
    </row>
    <row r="614" spans="1:8" x14ac:dyDescent="0.25">
      <c r="A614" t="s">
        <v>42</v>
      </c>
      <c r="B614" t="s">
        <v>720</v>
      </c>
      <c r="C614" t="s">
        <v>1110</v>
      </c>
      <c r="D614" t="s">
        <v>1118</v>
      </c>
      <c r="E614">
        <v>93.32</v>
      </c>
      <c r="F614">
        <v>660724</v>
      </c>
      <c r="G614" t="s">
        <v>1131</v>
      </c>
      <c r="H614" t="s">
        <v>1133</v>
      </c>
    </row>
    <row r="615" spans="1:8" x14ac:dyDescent="0.25">
      <c r="A615" t="s">
        <v>45</v>
      </c>
      <c r="B615" t="s">
        <v>721</v>
      </c>
      <c r="C615" t="s">
        <v>1113</v>
      </c>
      <c r="D615" t="s">
        <v>1126</v>
      </c>
      <c r="E615">
        <v>39.869999999999997</v>
      </c>
      <c r="F615">
        <v>424513</v>
      </c>
      <c r="G615" t="s">
        <v>1129</v>
      </c>
      <c r="H615" t="s">
        <v>1133</v>
      </c>
    </row>
    <row r="616" spans="1:8" x14ac:dyDescent="0.25">
      <c r="A616" t="s">
        <v>68</v>
      </c>
      <c r="B616" t="s">
        <v>722</v>
      </c>
      <c r="C616" t="s">
        <v>1109</v>
      </c>
      <c r="D616" t="s">
        <v>1118</v>
      </c>
      <c r="E616">
        <v>51.72</v>
      </c>
      <c r="F616">
        <v>814343</v>
      </c>
      <c r="G616" t="s">
        <v>1131</v>
      </c>
      <c r="H616" t="s">
        <v>1134</v>
      </c>
    </row>
    <row r="617" spans="1:8" x14ac:dyDescent="0.25">
      <c r="A617" t="s">
        <v>38</v>
      </c>
      <c r="B617" t="s">
        <v>723</v>
      </c>
      <c r="C617" t="s">
        <v>1116</v>
      </c>
      <c r="D617" t="s">
        <v>1123</v>
      </c>
      <c r="E617">
        <v>43.46</v>
      </c>
      <c r="F617">
        <v>683637</v>
      </c>
      <c r="G617" t="s">
        <v>1132</v>
      </c>
      <c r="H617" t="s">
        <v>1133</v>
      </c>
    </row>
    <row r="618" spans="1:8" x14ac:dyDescent="0.25">
      <c r="A618" t="s">
        <v>16</v>
      </c>
      <c r="B618" t="s">
        <v>724</v>
      </c>
      <c r="C618" t="s">
        <v>1111</v>
      </c>
      <c r="D618" t="s">
        <v>1126</v>
      </c>
      <c r="E618">
        <v>35.93</v>
      </c>
      <c r="F618">
        <v>641981</v>
      </c>
      <c r="G618" t="s">
        <v>1132</v>
      </c>
      <c r="H618" t="s">
        <v>1134</v>
      </c>
    </row>
    <row r="619" spans="1:8" x14ac:dyDescent="0.25">
      <c r="A619" t="s">
        <v>58</v>
      </c>
      <c r="B619" t="s">
        <v>725</v>
      </c>
      <c r="C619" t="s">
        <v>1116</v>
      </c>
      <c r="D619" t="s">
        <v>1127</v>
      </c>
      <c r="E619">
        <v>75.87</v>
      </c>
      <c r="F619">
        <v>687135</v>
      </c>
      <c r="G619" t="s">
        <v>1128</v>
      </c>
      <c r="H619" t="s">
        <v>1133</v>
      </c>
    </row>
    <row r="620" spans="1:8" x14ac:dyDescent="0.25">
      <c r="A620" t="s">
        <v>11</v>
      </c>
      <c r="B620" t="s">
        <v>726</v>
      </c>
      <c r="C620" t="s">
        <v>1112</v>
      </c>
      <c r="D620" t="s">
        <v>1119</v>
      </c>
      <c r="E620">
        <v>89.04</v>
      </c>
      <c r="F620">
        <v>722686</v>
      </c>
      <c r="G620" t="s">
        <v>1129</v>
      </c>
      <c r="H620" t="s">
        <v>1134</v>
      </c>
    </row>
    <row r="621" spans="1:8" x14ac:dyDescent="0.25">
      <c r="A621" t="s">
        <v>96</v>
      </c>
      <c r="B621" t="s">
        <v>727</v>
      </c>
      <c r="C621" t="s">
        <v>1112</v>
      </c>
      <c r="D621" t="s">
        <v>1121</v>
      </c>
      <c r="E621">
        <v>87.76</v>
      </c>
      <c r="F621">
        <v>532732</v>
      </c>
      <c r="G621" t="s">
        <v>1128</v>
      </c>
      <c r="H621" t="s">
        <v>1133</v>
      </c>
    </row>
    <row r="622" spans="1:8" x14ac:dyDescent="0.25">
      <c r="A622" t="s">
        <v>85</v>
      </c>
      <c r="B622" t="s">
        <v>728</v>
      </c>
      <c r="C622" t="s">
        <v>1112</v>
      </c>
      <c r="D622" t="s">
        <v>1124</v>
      </c>
      <c r="E622">
        <v>54.45</v>
      </c>
      <c r="F622">
        <v>252439</v>
      </c>
      <c r="G622" t="s">
        <v>1128</v>
      </c>
      <c r="H622" t="s">
        <v>1133</v>
      </c>
    </row>
    <row r="623" spans="1:8" x14ac:dyDescent="0.25">
      <c r="A623" t="s">
        <v>75</v>
      </c>
      <c r="B623" t="s">
        <v>729</v>
      </c>
      <c r="C623" t="s">
        <v>1112</v>
      </c>
      <c r="D623" t="s">
        <v>1123</v>
      </c>
      <c r="E623">
        <v>41.11</v>
      </c>
      <c r="F623">
        <v>924670</v>
      </c>
      <c r="G623" t="s">
        <v>1129</v>
      </c>
      <c r="H623" t="s">
        <v>1133</v>
      </c>
    </row>
    <row r="624" spans="1:8" x14ac:dyDescent="0.25">
      <c r="A624" t="s">
        <v>92</v>
      </c>
      <c r="B624" t="s">
        <v>730</v>
      </c>
      <c r="C624" t="s">
        <v>1116</v>
      </c>
      <c r="D624" t="s">
        <v>1124</v>
      </c>
      <c r="E624">
        <v>48.45</v>
      </c>
      <c r="F624">
        <v>601735</v>
      </c>
      <c r="G624" t="s">
        <v>1132</v>
      </c>
      <c r="H624" t="s">
        <v>1133</v>
      </c>
    </row>
    <row r="625" spans="1:8" x14ac:dyDescent="0.25">
      <c r="A625" t="s">
        <v>87</v>
      </c>
      <c r="B625" t="s">
        <v>731</v>
      </c>
      <c r="C625" t="s">
        <v>1115</v>
      </c>
      <c r="D625" t="s">
        <v>1119</v>
      </c>
      <c r="E625">
        <v>52.65</v>
      </c>
      <c r="F625">
        <v>308943</v>
      </c>
      <c r="G625" t="s">
        <v>1129</v>
      </c>
      <c r="H625" t="s">
        <v>1134</v>
      </c>
    </row>
    <row r="626" spans="1:8" x14ac:dyDescent="0.25">
      <c r="A626" t="s">
        <v>26</v>
      </c>
      <c r="B626" t="s">
        <v>732</v>
      </c>
      <c r="C626" t="s">
        <v>1117</v>
      </c>
      <c r="D626" t="s">
        <v>1118</v>
      </c>
      <c r="E626">
        <v>37.18</v>
      </c>
      <c r="F626">
        <v>842887</v>
      </c>
      <c r="G626" t="s">
        <v>1132</v>
      </c>
      <c r="H626" t="s">
        <v>1133</v>
      </c>
    </row>
    <row r="627" spans="1:8" x14ac:dyDescent="0.25">
      <c r="A627" t="s">
        <v>63</v>
      </c>
      <c r="B627" t="s">
        <v>733</v>
      </c>
      <c r="C627" t="s">
        <v>1117</v>
      </c>
      <c r="D627" t="s">
        <v>1122</v>
      </c>
      <c r="E627">
        <v>98.02</v>
      </c>
      <c r="F627">
        <v>217587</v>
      </c>
      <c r="G627" t="s">
        <v>1130</v>
      </c>
      <c r="H627" t="s">
        <v>1134</v>
      </c>
    </row>
    <row r="628" spans="1:8" x14ac:dyDescent="0.25">
      <c r="A628" t="s">
        <v>72</v>
      </c>
      <c r="B628" t="s">
        <v>734</v>
      </c>
      <c r="C628" t="s">
        <v>1111</v>
      </c>
      <c r="D628" t="s">
        <v>1127</v>
      </c>
      <c r="E628">
        <v>41.54</v>
      </c>
      <c r="F628">
        <v>591869</v>
      </c>
      <c r="G628" t="s">
        <v>1129</v>
      </c>
      <c r="H628" t="s">
        <v>1133</v>
      </c>
    </row>
    <row r="629" spans="1:8" x14ac:dyDescent="0.25">
      <c r="A629" t="s">
        <v>12</v>
      </c>
      <c r="B629" t="s">
        <v>735</v>
      </c>
      <c r="C629" t="s">
        <v>1116</v>
      </c>
      <c r="D629" t="s">
        <v>1120</v>
      </c>
      <c r="E629">
        <v>85.93</v>
      </c>
      <c r="F629">
        <v>694538</v>
      </c>
      <c r="G629" t="s">
        <v>1128</v>
      </c>
      <c r="H629" t="s">
        <v>1133</v>
      </c>
    </row>
    <row r="630" spans="1:8" x14ac:dyDescent="0.25">
      <c r="A630" t="s">
        <v>76</v>
      </c>
      <c r="B630" t="s">
        <v>736</v>
      </c>
      <c r="C630" t="s">
        <v>1112</v>
      </c>
      <c r="D630" t="s">
        <v>1124</v>
      </c>
      <c r="E630">
        <v>78.66</v>
      </c>
      <c r="F630">
        <v>735795</v>
      </c>
      <c r="G630" t="s">
        <v>1131</v>
      </c>
      <c r="H630" t="s">
        <v>1133</v>
      </c>
    </row>
    <row r="631" spans="1:8" x14ac:dyDescent="0.25">
      <c r="A631" t="s">
        <v>46</v>
      </c>
      <c r="B631" t="s">
        <v>737</v>
      </c>
      <c r="C631" t="s">
        <v>1110</v>
      </c>
      <c r="D631" t="s">
        <v>1127</v>
      </c>
      <c r="E631">
        <v>38.520000000000003</v>
      </c>
      <c r="F631">
        <v>239225</v>
      </c>
      <c r="G631" t="s">
        <v>1132</v>
      </c>
      <c r="H631" t="s">
        <v>1133</v>
      </c>
    </row>
    <row r="632" spans="1:8" x14ac:dyDescent="0.25">
      <c r="A632" t="s">
        <v>35</v>
      </c>
      <c r="B632" t="s">
        <v>738</v>
      </c>
      <c r="C632" t="s">
        <v>1110</v>
      </c>
      <c r="D632" t="s">
        <v>1122</v>
      </c>
      <c r="E632">
        <v>94.27</v>
      </c>
      <c r="F632">
        <v>246020</v>
      </c>
      <c r="G632" t="s">
        <v>1128</v>
      </c>
      <c r="H632" t="s">
        <v>1133</v>
      </c>
    </row>
    <row r="633" spans="1:8" x14ac:dyDescent="0.25">
      <c r="A633" t="s">
        <v>48</v>
      </c>
      <c r="B633" t="s">
        <v>739</v>
      </c>
      <c r="C633" t="s">
        <v>1110</v>
      </c>
      <c r="D633" t="s">
        <v>1126</v>
      </c>
      <c r="E633">
        <v>76.11</v>
      </c>
      <c r="F633">
        <v>123625</v>
      </c>
      <c r="G633" t="s">
        <v>1129</v>
      </c>
      <c r="H633" t="s">
        <v>1133</v>
      </c>
    </row>
    <row r="634" spans="1:8" x14ac:dyDescent="0.25">
      <c r="A634" t="s">
        <v>35</v>
      </c>
      <c r="B634" t="s">
        <v>740</v>
      </c>
      <c r="C634" t="s">
        <v>1115</v>
      </c>
      <c r="D634" t="s">
        <v>1126</v>
      </c>
      <c r="E634">
        <v>45.59</v>
      </c>
      <c r="F634">
        <v>528458</v>
      </c>
      <c r="G634" t="s">
        <v>1128</v>
      </c>
      <c r="H634" t="s">
        <v>1133</v>
      </c>
    </row>
    <row r="635" spans="1:8" x14ac:dyDescent="0.25">
      <c r="A635" t="s">
        <v>70</v>
      </c>
      <c r="B635" t="s">
        <v>741</v>
      </c>
      <c r="C635" t="s">
        <v>1111</v>
      </c>
      <c r="D635" t="s">
        <v>1125</v>
      </c>
      <c r="E635">
        <v>41.9</v>
      </c>
      <c r="F635">
        <v>894975</v>
      </c>
      <c r="G635" t="s">
        <v>1129</v>
      </c>
      <c r="H635" t="s">
        <v>1133</v>
      </c>
    </row>
    <row r="636" spans="1:8" x14ac:dyDescent="0.25">
      <c r="A636" t="s">
        <v>100</v>
      </c>
      <c r="B636" t="s">
        <v>742</v>
      </c>
      <c r="C636" t="s">
        <v>1108</v>
      </c>
      <c r="D636" t="s">
        <v>1120</v>
      </c>
      <c r="E636">
        <v>63.37</v>
      </c>
      <c r="F636">
        <v>693565</v>
      </c>
      <c r="G636" t="s">
        <v>1130</v>
      </c>
      <c r="H636" t="s">
        <v>1133</v>
      </c>
    </row>
    <row r="637" spans="1:8" x14ac:dyDescent="0.25">
      <c r="A637" t="s">
        <v>93</v>
      </c>
      <c r="B637" t="s">
        <v>743</v>
      </c>
      <c r="C637" t="s">
        <v>1110</v>
      </c>
      <c r="D637" t="s">
        <v>1118</v>
      </c>
      <c r="E637">
        <v>62.12</v>
      </c>
      <c r="F637">
        <v>706949</v>
      </c>
      <c r="G637" t="s">
        <v>1130</v>
      </c>
      <c r="H637" t="s">
        <v>1133</v>
      </c>
    </row>
    <row r="638" spans="1:8" x14ac:dyDescent="0.25">
      <c r="A638" t="s">
        <v>90</v>
      </c>
      <c r="B638" t="s">
        <v>744</v>
      </c>
      <c r="C638" t="s">
        <v>1110</v>
      </c>
      <c r="D638" t="s">
        <v>1121</v>
      </c>
      <c r="E638">
        <v>41.72</v>
      </c>
      <c r="F638">
        <v>959024</v>
      </c>
      <c r="G638" t="s">
        <v>1129</v>
      </c>
      <c r="H638" t="s">
        <v>1133</v>
      </c>
    </row>
    <row r="639" spans="1:8" x14ac:dyDescent="0.25">
      <c r="A639" t="s">
        <v>69</v>
      </c>
      <c r="B639" t="s">
        <v>745</v>
      </c>
      <c r="C639" t="s">
        <v>1117</v>
      </c>
      <c r="D639" t="s">
        <v>1122</v>
      </c>
      <c r="E639">
        <v>89.07</v>
      </c>
      <c r="F639">
        <v>120943</v>
      </c>
      <c r="G639" t="s">
        <v>1131</v>
      </c>
      <c r="H639" t="s">
        <v>1133</v>
      </c>
    </row>
    <row r="640" spans="1:8" x14ac:dyDescent="0.25">
      <c r="A640" t="s">
        <v>99</v>
      </c>
      <c r="B640" t="s">
        <v>746</v>
      </c>
      <c r="C640" t="s">
        <v>1113</v>
      </c>
      <c r="D640" t="s">
        <v>1127</v>
      </c>
      <c r="E640">
        <v>90.48</v>
      </c>
      <c r="F640">
        <v>395132</v>
      </c>
      <c r="G640" t="s">
        <v>1132</v>
      </c>
      <c r="H640" t="s">
        <v>1133</v>
      </c>
    </row>
    <row r="641" spans="1:8" x14ac:dyDescent="0.25">
      <c r="A641" t="s">
        <v>58</v>
      </c>
      <c r="B641" t="s">
        <v>747</v>
      </c>
      <c r="C641" t="s">
        <v>1114</v>
      </c>
      <c r="D641" t="s">
        <v>1126</v>
      </c>
      <c r="E641">
        <v>43.52</v>
      </c>
      <c r="F641">
        <v>775863</v>
      </c>
      <c r="G641" t="s">
        <v>1129</v>
      </c>
      <c r="H641" t="s">
        <v>1133</v>
      </c>
    </row>
    <row r="642" spans="1:8" x14ac:dyDescent="0.25">
      <c r="A642" t="s">
        <v>71</v>
      </c>
      <c r="B642" t="s">
        <v>748</v>
      </c>
      <c r="C642" t="s">
        <v>1114</v>
      </c>
      <c r="D642" t="s">
        <v>1123</v>
      </c>
      <c r="E642">
        <v>49.41</v>
      </c>
      <c r="F642">
        <v>638209</v>
      </c>
      <c r="G642" t="s">
        <v>1128</v>
      </c>
      <c r="H642" t="s">
        <v>1133</v>
      </c>
    </row>
    <row r="643" spans="1:8" x14ac:dyDescent="0.25">
      <c r="A643" t="s">
        <v>26</v>
      </c>
      <c r="B643" t="s">
        <v>749</v>
      </c>
      <c r="C643" t="s">
        <v>1115</v>
      </c>
      <c r="D643" t="s">
        <v>1127</v>
      </c>
      <c r="E643">
        <v>93.04</v>
      </c>
      <c r="F643">
        <v>446218</v>
      </c>
      <c r="G643" t="s">
        <v>1130</v>
      </c>
      <c r="H643" t="s">
        <v>1134</v>
      </c>
    </row>
    <row r="644" spans="1:8" x14ac:dyDescent="0.25">
      <c r="A644" t="s">
        <v>90</v>
      </c>
      <c r="B644" t="s">
        <v>750</v>
      </c>
      <c r="C644" t="s">
        <v>1117</v>
      </c>
      <c r="D644" t="s">
        <v>1122</v>
      </c>
      <c r="E644">
        <v>87.35</v>
      </c>
      <c r="F644">
        <v>619460</v>
      </c>
      <c r="G644" t="s">
        <v>1131</v>
      </c>
      <c r="H644" t="s">
        <v>1133</v>
      </c>
    </row>
    <row r="645" spans="1:8" x14ac:dyDescent="0.25">
      <c r="A645" t="s">
        <v>98</v>
      </c>
      <c r="B645" t="s">
        <v>751</v>
      </c>
      <c r="C645" t="s">
        <v>1113</v>
      </c>
      <c r="D645" t="s">
        <v>1122</v>
      </c>
      <c r="E645">
        <v>98.8</v>
      </c>
      <c r="F645">
        <v>802919</v>
      </c>
      <c r="G645" t="s">
        <v>1128</v>
      </c>
      <c r="H645" t="s">
        <v>1133</v>
      </c>
    </row>
    <row r="646" spans="1:8" x14ac:dyDescent="0.25">
      <c r="A646" t="s">
        <v>102</v>
      </c>
      <c r="B646" t="s">
        <v>752</v>
      </c>
      <c r="C646" t="s">
        <v>1108</v>
      </c>
      <c r="D646" t="s">
        <v>1120</v>
      </c>
      <c r="E646">
        <v>96.77</v>
      </c>
      <c r="F646">
        <v>423875</v>
      </c>
      <c r="G646" t="s">
        <v>1130</v>
      </c>
      <c r="H646" t="s">
        <v>1133</v>
      </c>
    </row>
    <row r="647" spans="1:8" x14ac:dyDescent="0.25">
      <c r="A647" t="s">
        <v>97</v>
      </c>
      <c r="B647" t="s">
        <v>753</v>
      </c>
      <c r="C647" t="s">
        <v>1113</v>
      </c>
      <c r="D647" t="s">
        <v>1121</v>
      </c>
      <c r="E647">
        <v>79.87</v>
      </c>
      <c r="F647">
        <v>187128</v>
      </c>
      <c r="G647" t="s">
        <v>1132</v>
      </c>
      <c r="H647" t="s">
        <v>1134</v>
      </c>
    </row>
    <row r="648" spans="1:8" x14ac:dyDescent="0.25">
      <c r="A648" t="s">
        <v>100</v>
      </c>
      <c r="B648" t="s">
        <v>754</v>
      </c>
      <c r="C648" t="s">
        <v>1110</v>
      </c>
      <c r="D648" t="s">
        <v>1126</v>
      </c>
      <c r="E648">
        <v>51.78</v>
      </c>
      <c r="F648">
        <v>586530</v>
      </c>
      <c r="G648" t="s">
        <v>1131</v>
      </c>
      <c r="H648" t="s">
        <v>1134</v>
      </c>
    </row>
    <row r="649" spans="1:8" x14ac:dyDescent="0.25">
      <c r="A649" t="s">
        <v>107</v>
      </c>
      <c r="B649" t="s">
        <v>755</v>
      </c>
      <c r="C649" t="s">
        <v>1108</v>
      </c>
      <c r="D649" t="s">
        <v>1121</v>
      </c>
      <c r="E649">
        <v>81.99</v>
      </c>
      <c r="F649">
        <v>432801</v>
      </c>
      <c r="G649" t="s">
        <v>1129</v>
      </c>
      <c r="H649" t="s">
        <v>1133</v>
      </c>
    </row>
    <row r="650" spans="1:8" x14ac:dyDescent="0.25">
      <c r="A650" t="s">
        <v>34</v>
      </c>
      <c r="B650" t="s">
        <v>756</v>
      </c>
      <c r="C650" t="s">
        <v>1115</v>
      </c>
      <c r="D650" t="s">
        <v>1124</v>
      </c>
      <c r="E650">
        <v>44.41</v>
      </c>
      <c r="F650">
        <v>940393</v>
      </c>
      <c r="G650" t="s">
        <v>1130</v>
      </c>
      <c r="H650" t="s">
        <v>1133</v>
      </c>
    </row>
    <row r="651" spans="1:8" x14ac:dyDescent="0.25">
      <c r="A651" t="s">
        <v>68</v>
      </c>
      <c r="B651" t="s">
        <v>757</v>
      </c>
      <c r="C651" t="s">
        <v>1110</v>
      </c>
      <c r="D651" t="s">
        <v>1118</v>
      </c>
      <c r="E651">
        <v>77.150000000000006</v>
      </c>
      <c r="F651">
        <v>104234</v>
      </c>
      <c r="G651" t="s">
        <v>1128</v>
      </c>
      <c r="H651" t="s">
        <v>1134</v>
      </c>
    </row>
    <row r="652" spans="1:8" x14ac:dyDescent="0.25">
      <c r="A652" t="s">
        <v>51</v>
      </c>
      <c r="B652" t="s">
        <v>758</v>
      </c>
      <c r="C652" t="s">
        <v>1108</v>
      </c>
      <c r="D652" t="s">
        <v>1124</v>
      </c>
      <c r="E652">
        <v>71.89</v>
      </c>
      <c r="F652">
        <v>308307</v>
      </c>
      <c r="G652" t="s">
        <v>1128</v>
      </c>
      <c r="H652" t="s">
        <v>1133</v>
      </c>
    </row>
    <row r="653" spans="1:8" x14ac:dyDescent="0.25">
      <c r="A653" t="s">
        <v>62</v>
      </c>
      <c r="B653" t="s">
        <v>759</v>
      </c>
      <c r="C653" t="s">
        <v>1110</v>
      </c>
      <c r="D653" t="s">
        <v>1118</v>
      </c>
      <c r="E653">
        <v>54.57</v>
      </c>
      <c r="F653">
        <v>843922</v>
      </c>
      <c r="G653" t="s">
        <v>1132</v>
      </c>
      <c r="H653" t="s">
        <v>1134</v>
      </c>
    </row>
    <row r="654" spans="1:8" x14ac:dyDescent="0.25">
      <c r="A654" t="s">
        <v>96</v>
      </c>
      <c r="B654" t="s">
        <v>760</v>
      </c>
      <c r="C654" t="s">
        <v>1108</v>
      </c>
      <c r="D654" t="s">
        <v>1122</v>
      </c>
      <c r="E654">
        <v>89.97</v>
      </c>
      <c r="F654">
        <v>701137</v>
      </c>
      <c r="G654" t="s">
        <v>1132</v>
      </c>
      <c r="H654" t="s">
        <v>1133</v>
      </c>
    </row>
    <row r="655" spans="1:8" x14ac:dyDescent="0.25">
      <c r="A655" t="s">
        <v>45</v>
      </c>
      <c r="B655" t="s">
        <v>761</v>
      </c>
      <c r="C655" t="s">
        <v>1111</v>
      </c>
      <c r="D655" t="s">
        <v>1122</v>
      </c>
      <c r="E655">
        <v>99.21</v>
      </c>
      <c r="F655">
        <v>510124</v>
      </c>
      <c r="G655" t="s">
        <v>1132</v>
      </c>
      <c r="H655" t="s">
        <v>1133</v>
      </c>
    </row>
    <row r="656" spans="1:8" x14ac:dyDescent="0.25">
      <c r="A656" t="s">
        <v>47</v>
      </c>
      <c r="B656" t="s">
        <v>762</v>
      </c>
      <c r="C656" t="s">
        <v>1115</v>
      </c>
      <c r="D656" t="s">
        <v>1118</v>
      </c>
      <c r="E656">
        <v>99.14</v>
      </c>
      <c r="F656">
        <v>191450</v>
      </c>
      <c r="G656" t="s">
        <v>1130</v>
      </c>
      <c r="H656" t="s">
        <v>1134</v>
      </c>
    </row>
    <row r="657" spans="1:8" x14ac:dyDescent="0.25">
      <c r="A657" t="s">
        <v>94</v>
      </c>
      <c r="B657" t="s">
        <v>763</v>
      </c>
      <c r="C657" t="s">
        <v>1113</v>
      </c>
      <c r="D657" t="s">
        <v>1120</v>
      </c>
      <c r="E657">
        <v>48.37</v>
      </c>
      <c r="F657">
        <v>271192</v>
      </c>
      <c r="G657" t="s">
        <v>1130</v>
      </c>
      <c r="H657" t="s">
        <v>1133</v>
      </c>
    </row>
    <row r="658" spans="1:8" x14ac:dyDescent="0.25">
      <c r="A658" t="s">
        <v>65</v>
      </c>
      <c r="B658" t="s">
        <v>764</v>
      </c>
      <c r="C658" t="s">
        <v>1115</v>
      </c>
      <c r="D658" t="s">
        <v>1125</v>
      </c>
      <c r="E658">
        <v>68.11</v>
      </c>
      <c r="F658">
        <v>177328</v>
      </c>
      <c r="G658" t="s">
        <v>1131</v>
      </c>
      <c r="H658" t="s">
        <v>1134</v>
      </c>
    </row>
    <row r="659" spans="1:8" x14ac:dyDescent="0.25">
      <c r="A659" t="s">
        <v>27</v>
      </c>
      <c r="B659" t="s">
        <v>765</v>
      </c>
      <c r="C659" t="s">
        <v>1111</v>
      </c>
      <c r="D659" t="s">
        <v>1122</v>
      </c>
      <c r="E659">
        <v>73.459999999999994</v>
      </c>
      <c r="F659">
        <v>996454</v>
      </c>
      <c r="G659" t="s">
        <v>1132</v>
      </c>
      <c r="H659" t="s">
        <v>1133</v>
      </c>
    </row>
    <row r="660" spans="1:8" x14ac:dyDescent="0.25">
      <c r="A660" t="s">
        <v>86</v>
      </c>
      <c r="B660" t="s">
        <v>766</v>
      </c>
      <c r="C660" t="s">
        <v>1111</v>
      </c>
      <c r="D660" t="s">
        <v>1126</v>
      </c>
      <c r="E660">
        <v>96.57</v>
      </c>
      <c r="F660">
        <v>186368</v>
      </c>
      <c r="G660" t="s">
        <v>1128</v>
      </c>
      <c r="H660" t="s">
        <v>1133</v>
      </c>
    </row>
    <row r="661" spans="1:8" x14ac:dyDescent="0.25">
      <c r="A661" t="s">
        <v>38</v>
      </c>
      <c r="B661" t="s">
        <v>767</v>
      </c>
      <c r="C661" t="s">
        <v>1113</v>
      </c>
      <c r="D661" t="s">
        <v>1126</v>
      </c>
      <c r="E661">
        <v>40.54</v>
      </c>
      <c r="F661">
        <v>528299</v>
      </c>
      <c r="G661" t="s">
        <v>1129</v>
      </c>
      <c r="H661" t="s">
        <v>1133</v>
      </c>
    </row>
    <row r="662" spans="1:8" x14ac:dyDescent="0.25">
      <c r="A662" t="s">
        <v>69</v>
      </c>
      <c r="B662" t="s">
        <v>768</v>
      </c>
      <c r="C662" t="s">
        <v>1114</v>
      </c>
      <c r="D662" t="s">
        <v>1125</v>
      </c>
      <c r="E662">
        <v>69.13</v>
      </c>
      <c r="F662">
        <v>266587</v>
      </c>
      <c r="G662" t="s">
        <v>1128</v>
      </c>
      <c r="H662" t="s">
        <v>1133</v>
      </c>
    </row>
    <row r="663" spans="1:8" x14ac:dyDescent="0.25">
      <c r="A663" t="s">
        <v>10</v>
      </c>
      <c r="B663" t="s">
        <v>769</v>
      </c>
      <c r="C663" t="s">
        <v>1109</v>
      </c>
      <c r="D663" t="s">
        <v>1118</v>
      </c>
      <c r="E663">
        <v>53.15</v>
      </c>
      <c r="F663">
        <v>519642</v>
      </c>
      <c r="G663" t="s">
        <v>1129</v>
      </c>
      <c r="H663" t="s">
        <v>1133</v>
      </c>
    </row>
    <row r="664" spans="1:8" x14ac:dyDescent="0.25">
      <c r="A664" t="s">
        <v>55</v>
      </c>
      <c r="B664" t="s">
        <v>770</v>
      </c>
      <c r="C664" t="s">
        <v>1114</v>
      </c>
      <c r="D664" t="s">
        <v>1125</v>
      </c>
      <c r="E664">
        <v>48.53</v>
      </c>
      <c r="F664">
        <v>315037</v>
      </c>
      <c r="G664" t="s">
        <v>1130</v>
      </c>
      <c r="H664" t="s">
        <v>1134</v>
      </c>
    </row>
    <row r="665" spans="1:8" x14ac:dyDescent="0.25">
      <c r="A665" t="s">
        <v>55</v>
      </c>
      <c r="B665" t="s">
        <v>771</v>
      </c>
      <c r="C665" t="s">
        <v>1112</v>
      </c>
      <c r="D665" t="s">
        <v>1122</v>
      </c>
      <c r="E665">
        <v>92.72</v>
      </c>
      <c r="F665">
        <v>601632</v>
      </c>
      <c r="G665" t="s">
        <v>1128</v>
      </c>
      <c r="H665" t="s">
        <v>1134</v>
      </c>
    </row>
    <row r="666" spans="1:8" x14ac:dyDescent="0.25">
      <c r="A666" t="s">
        <v>92</v>
      </c>
      <c r="B666" t="s">
        <v>772</v>
      </c>
      <c r="C666" t="s">
        <v>1112</v>
      </c>
      <c r="D666" t="s">
        <v>1120</v>
      </c>
      <c r="E666">
        <v>97.46</v>
      </c>
      <c r="F666">
        <v>262685</v>
      </c>
      <c r="G666" t="s">
        <v>1128</v>
      </c>
      <c r="H666" t="s">
        <v>1133</v>
      </c>
    </row>
    <row r="667" spans="1:8" x14ac:dyDescent="0.25">
      <c r="A667" t="s">
        <v>74</v>
      </c>
      <c r="B667" t="s">
        <v>773</v>
      </c>
      <c r="C667" t="s">
        <v>1112</v>
      </c>
      <c r="D667" t="s">
        <v>1127</v>
      </c>
      <c r="E667">
        <v>97.11</v>
      </c>
      <c r="F667">
        <v>862440</v>
      </c>
      <c r="G667" t="s">
        <v>1130</v>
      </c>
      <c r="H667" t="s">
        <v>1133</v>
      </c>
    </row>
    <row r="668" spans="1:8" x14ac:dyDescent="0.25">
      <c r="A668" t="s">
        <v>107</v>
      </c>
      <c r="B668" t="s">
        <v>774</v>
      </c>
      <c r="C668" t="s">
        <v>1108</v>
      </c>
      <c r="D668" t="s">
        <v>1118</v>
      </c>
      <c r="E668">
        <v>72.41</v>
      </c>
      <c r="F668">
        <v>259626</v>
      </c>
      <c r="G668" t="s">
        <v>1129</v>
      </c>
      <c r="H668" t="s">
        <v>1133</v>
      </c>
    </row>
    <row r="669" spans="1:8" x14ac:dyDescent="0.25">
      <c r="A669" t="s">
        <v>79</v>
      </c>
      <c r="B669" t="s">
        <v>775</v>
      </c>
      <c r="C669" t="s">
        <v>1114</v>
      </c>
      <c r="D669" t="s">
        <v>1127</v>
      </c>
      <c r="E669">
        <v>54.66</v>
      </c>
      <c r="F669">
        <v>887375</v>
      </c>
      <c r="G669" t="s">
        <v>1128</v>
      </c>
      <c r="H669" t="s">
        <v>1133</v>
      </c>
    </row>
    <row r="670" spans="1:8" x14ac:dyDescent="0.25">
      <c r="A670" t="s">
        <v>80</v>
      </c>
      <c r="B670" t="s">
        <v>776</v>
      </c>
      <c r="C670" t="s">
        <v>1117</v>
      </c>
      <c r="D670" t="s">
        <v>1119</v>
      </c>
      <c r="E670">
        <v>81.13</v>
      </c>
      <c r="F670">
        <v>981046</v>
      </c>
      <c r="G670" t="s">
        <v>1129</v>
      </c>
      <c r="H670" t="s">
        <v>1133</v>
      </c>
    </row>
    <row r="671" spans="1:8" x14ac:dyDescent="0.25">
      <c r="A671" t="s">
        <v>93</v>
      </c>
      <c r="B671" t="s">
        <v>777</v>
      </c>
      <c r="C671" t="s">
        <v>1111</v>
      </c>
      <c r="D671" t="s">
        <v>1125</v>
      </c>
      <c r="E671">
        <v>81.150000000000006</v>
      </c>
      <c r="F671">
        <v>536412</v>
      </c>
      <c r="G671" t="s">
        <v>1130</v>
      </c>
      <c r="H671" t="s">
        <v>1133</v>
      </c>
    </row>
    <row r="672" spans="1:8" x14ac:dyDescent="0.25">
      <c r="A672" t="s">
        <v>33</v>
      </c>
      <c r="B672" t="s">
        <v>778</v>
      </c>
      <c r="C672" t="s">
        <v>1114</v>
      </c>
      <c r="D672" t="s">
        <v>1122</v>
      </c>
      <c r="E672">
        <v>94.01</v>
      </c>
      <c r="F672">
        <v>332368</v>
      </c>
      <c r="G672" t="s">
        <v>1130</v>
      </c>
      <c r="H672" t="s">
        <v>1134</v>
      </c>
    </row>
    <row r="673" spans="1:8" x14ac:dyDescent="0.25">
      <c r="A673" t="s">
        <v>81</v>
      </c>
      <c r="B673" t="s">
        <v>779</v>
      </c>
      <c r="C673" t="s">
        <v>1110</v>
      </c>
      <c r="D673" t="s">
        <v>1119</v>
      </c>
      <c r="E673">
        <v>54.32</v>
      </c>
      <c r="F673">
        <v>715401</v>
      </c>
      <c r="G673" t="s">
        <v>1129</v>
      </c>
      <c r="H673" t="s">
        <v>1133</v>
      </c>
    </row>
    <row r="674" spans="1:8" x14ac:dyDescent="0.25">
      <c r="A674" t="s">
        <v>94</v>
      </c>
      <c r="B674" t="s">
        <v>780</v>
      </c>
      <c r="C674" t="s">
        <v>1115</v>
      </c>
      <c r="D674" t="s">
        <v>1125</v>
      </c>
      <c r="E674">
        <v>58.11</v>
      </c>
      <c r="F674">
        <v>376358</v>
      </c>
      <c r="G674" t="s">
        <v>1131</v>
      </c>
      <c r="H674" t="s">
        <v>1134</v>
      </c>
    </row>
    <row r="675" spans="1:8" x14ac:dyDescent="0.25">
      <c r="A675" t="s">
        <v>57</v>
      </c>
      <c r="B675" t="s">
        <v>781</v>
      </c>
      <c r="C675" t="s">
        <v>1113</v>
      </c>
      <c r="D675" t="s">
        <v>1119</v>
      </c>
      <c r="E675">
        <v>85.55</v>
      </c>
      <c r="F675">
        <v>499769</v>
      </c>
      <c r="G675" t="s">
        <v>1132</v>
      </c>
      <c r="H675" t="s">
        <v>1134</v>
      </c>
    </row>
    <row r="676" spans="1:8" x14ac:dyDescent="0.25">
      <c r="A676" t="s">
        <v>17</v>
      </c>
      <c r="B676" t="s">
        <v>782</v>
      </c>
      <c r="C676" t="s">
        <v>1114</v>
      </c>
      <c r="D676" t="s">
        <v>1118</v>
      </c>
      <c r="E676">
        <v>56.64</v>
      </c>
      <c r="F676">
        <v>384107</v>
      </c>
      <c r="G676" t="s">
        <v>1131</v>
      </c>
      <c r="H676" t="s">
        <v>1134</v>
      </c>
    </row>
    <row r="677" spans="1:8" x14ac:dyDescent="0.25">
      <c r="A677" t="s">
        <v>78</v>
      </c>
      <c r="B677" t="s">
        <v>783</v>
      </c>
      <c r="C677" t="s">
        <v>1108</v>
      </c>
      <c r="D677" t="s">
        <v>1119</v>
      </c>
      <c r="E677">
        <v>70.3</v>
      </c>
      <c r="F677">
        <v>958464</v>
      </c>
      <c r="G677" t="s">
        <v>1128</v>
      </c>
      <c r="H677" t="s">
        <v>1133</v>
      </c>
    </row>
    <row r="678" spans="1:8" x14ac:dyDescent="0.25">
      <c r="A678" t="s">
        <v>72</v>
      </c>
      <c r="B678" t="s">
        <v>784</v>
      </c>
      <c r="C678" t="s">
        <v>1117</v>
      </c>
      <c r="D678" t="s">
        <v>1120</v>
      </c>
      <c r="E678">
        <v>48.62</v>
      </c>
      <c r="F678">
        <v>676888</v>
      </c>
      <c r="G678" t="s">
        <v>1130</v>
      </c>
      <c r="H678" t="s">
        <v>1134</v>
      </c>
    </row>
    <row r="679" spans="1:8" x14ac:dyDescent="0.25">
      <c r="A679" t="s">
        <v>78</v>
      </c>
      <c r="B679" t="s">
        <v>785</v>
      </c>
      <c r="C679" t="s">
        <v>1117</v>
      </c>
      <c r="D679" t="s">
        <v>1126</v>
      </c>
      <c r="E679">
        <v>97.39</v>
      </c>
      <c r="F679">
        <v>429897</v>
      </c>
      <c r="G679" t="s">
        <v>1129</v>
      </c>
      <c r="H679" t="s">
        <v>1133</v>
      </c>
    </row>
    <row r="680" spans="1:8" x14ac:dyDescent="0.25">
      <c r="A680" t="s">
        <v>32</v>
      </c>
      <c r="B680" t="s">
        <v>786</v>
      </c>
      <c r="C680" t="s">
        <v>1111</v>
      </c>
      <c r="D680" t="s">
        <v>1123</v>
      </c>
      <c r="E680">
        <v>38.159999999999997</v>
      </c>
      <c r="F680">
        <v>484634</v>
      </c>
      <c r="G680" t="s">
        <v>1129</v>
      </c>
      <c r="H680" t="s">
        <v>1133</v>
      </c>
    </row>
    <row r="681" spans="1:8" x14ac:dyDescent="0.25">
      <c r="A681" t="s">
        <v>93</v>
      </c>
      <c r="B681" t="s">
        <v>787</v>
      </c>
      <c r="C681" t="s">
        <v>1112</v>
      </c>
      <c r="D681" t="s">
        <v>1127</v>
      </c>
      <c r="E681">
        <v>59.03</v>
      </c>
      <c r="F681">
        <v>575077</v>
      </c>
      <c r="G681" t="s">
        <v>1132</v>
      </c>
      <c r="H681" t="s">
        <v>1134</v>
      </c>
    </row>
    <row r="682" spans="1:8" x14ac:dyDescent="0.25">
      <c r="A682" t="s">
        <v>23</v>
      </c>
      <c r="B682" t="s">
        <v>788</v>
      </c>
      <c r="C682" t="s">
        <v>1108</v>
      </c>
      <c r="D682" t="s">
        <v>1118</v>
      </c>
      <c r="E682">
        <v>59.67</v>
      </c>
      <c r="F682">
        <v>294426</v>
      </c>
      <c r="G682" t="s">
        <v>1132</v>
      </c>
      <c r="H682" t="s">
        <v>1133</v>
      </c>
    </row>
    <row r="683" spans="1:8" x14ac:dyDescent="0.25">
      <c r="A683" t="s">
        <v>56</v>
      </c>
      <c r="B683" t="s">
        <v>789</v>
      </c>
      <c r="C683" t="s">
        <v>1108</v>
      </c>
      <c r="D683" t="s">
        <v>1121</v>
      </c>
      <c r="E683">
        <v>56.33</v>
      </c>
      <c r="F683">
        <v>114622</v>
      </c>
      <c r="G683" t="s">
        <v>1128</v>
      </c>
      <c r="H683" t="s">
        <v>1133</v>
      </c>
    </row>
    <row r="684" spans="1:8" x14ac:dyDescent="0.25">
      <c r="A684" t="s">
        <v>49</v>
      </c>
      <c r="B684" t="s">
        <v>790</v>
      </c>
      <c r="C684" t="s">
        <v>1110</v>
      </c>
      <c r="D684" t="s">
        <v>1127</v>
      </c>
      <c r="E684">
        <v>72.52</v>
      </c>
      <c r="F684">
        <v>224086</v>
      </c>
      <c r="G684" t="s">
        <v>1130</v>
      </c>
      <c r="H684" t="s">
        <v>1133</v>
      </c>
    </row>
    <row r="685" spans="1:8" x14ac:dyDescent="0.25">
      <c r="A685" t="s">
        <v>59</v>
      </c>
      <c r="B685" t="s">
        <v>791</v>
      </c>
      <c r="C685" t="s">
        <v>1117</v>
      </c>
      <c r="D685" t="s">
        <v>1120</v>
      </c>
      <c r="E685">
        <v>59.98</v>
      </c>
      <c r="F685">
        <v>734505</v>
      </c>
      <c r="G685" t="s">
        <v>1131</v>
      </c>
      <c r="H685" t="s">
        <v>1134</v>
      </c>
    </row>
    <row r="686" spans="1:8" x14ac:dyDescent="0.25">
      <c r="A686" t="s">
        <v>45</v>
      </c>
      <c r="B686" t="s">
        <v>792</v>
      </c>
      <c r="C686" t="s">
        <v>1113</v>
      </c>
      <c r="D686" t="s">
        <v>1123</v>
      </c>
      <c r="E686">
        <v>60.23</v>
      </c>
      <c r="F686">
        <v>346770</v>
      </c>
      <c r="G686" t="s">
        <v>1132</v>
      </c>
      <c r="H686" t="s">
        <v>1133</v>
      </c>
    </row>
    <row r="687" spans="1:8" x14ac:dyDescent="0.25">
      <c r="A687" t="s">
        <v>11</v>
      </c>
      <c r="B687" t="s">
        <v>793</v>
      </c>
      <c r="C687" t="s">
        <v>1113</v>
      </c>
      <c r="D687" t="s">
        <v>1125</v>
      </c>
      <c r="E687">
        <v>87.82</v>
      </c>
      <c r="F687">
        <v>890234</v>
      </c>
      <c r="G687" t="s">
        <v>1130</v>
      </c>
      <c r="H687" t="s">
        <v>1133</v>
      </c>
    </row>
    <row r="688" spans="1:8" x14ac:dyDescent="0.25">
      <c r="A688" t="s">
        <v>40</v>
      </c>
      <c r="B688" t="s">
        <v>794</v>
      </c>
      <c r="C688" t="s">
        <v>1115</v>
      </c>
      <c r="D688" t="s">
        <v>1122</v>
      </c>
      <c r="E688">
        <v>98.73</v>
      </c>
      <c r="F688">
        <v>560191</v>
      </c>
      <c r="G688" t="s">
        <v>1129</v>
      </c>
      <c r="H688" t="s">
        <v>1133</v>
      </c>
    </row>
    <row r="689" spans="1:8" x14ac:dyDescent="0.25">
      <c r="A689" t="s">
        <v>45</v>
      </c>
      <c r="B689" t="s">
        <v>795</v>
      </c>
      <c r="C689" t="s">
        <v>1110</v>
      </c>
      <c r="D689" t="s">
        <v>1126</v>
      </c>
      <c r="E689">
        <v>75.599999999999994</v>
      </c>
      <c r="F689">
        <v>779059</v>
      </c>
      <c r="G689" t="s">
        <v>1130</v>
      </c>
      <c r="H689" t="s">
        <v>1133</v>
      </c>
    </row>
    <row r="690" spans="1:8" x14ac:dyDescent="0.25">
      <c r="A690" t="s">
        <v>23</v>
      </c>
      <c r="B690" t="s">
        <v>796</v>
      </c>
      <c r="C690" t="s">
        <v>1115</v>
      </c>
      <c r="D690" t="s">
        <v>1127</v>
      </c>
      <c r="E690">
        <v>85.52</v>
      </c>
      <c r="F690">
        <v>910599</v>
      </c>
      <c r="G690" t="s">
        <v>1132</v>
      </c>
      <c r="H690" t="s">
        <v>1133</v>
      </c>
    </row>
    <row r="691" spans="1:8" x14ac:dyDescent="0.25">
      <c r="A691" t="s">
        <v>32</v>
      </c>
      <c r="B691" t="s">
        <v>797</v>
      </c>
      <c r="C691" t="s">
        <v>1112</v>
      </c>
      <c r="D691" t="s">
        <v>1119</v>
      </c>
      <c r="E691">
        <v>74.34</v>
      </c>
      <c r="F691">
        <v>220063</v>
      </c>
      <c r="G691" t="s">
        <v>1130</v>
      </c>
      <c r="H691" t="s">
        <v>1133</v>
      </c>
    </row>
    <row r="692" spans="1:8" x14ac:dyDescent="0.25">
      <c r="A692" t="s">
        <v>91</v>
      </c>
      <c r="B692" t="s">
        <v>798</v>
      </c>
      <c r="C692" t="s">
        <v>1117</v>
      </c>
      <c r="D692" t="s">
        <v>1121</v>
      </c>
      <c r="E692">
        <v>94.93</v>
      </c>
      <c r="F692">
        <v>877225</v>
      </c>
      <c r="G692" t="s">
        <v>1131</v>
      </c>
      <c r="H692" t="s">
        <v>1133</v>
      </c>
    </row>
    <row r="693" spans="1:8" x14ac:dyDescent="0.25">
      <c r="A693" t="s">
        <v>30</v>
      </c>
      <c r="B693" t="s">
        <v>799</v>
      </c>
      <c r="C693" t="s">
        <v>1113</v>
      </c>
      <c r="D693" t="s">
        <v>1119</v>
      </c>
      <c r="E693">
        <v>83.47</v>
      </c>
      <c r="F693">
        <v>875413</v>
      </c>
      <c r="G693" t="s">
        <v>1128</v>
      </c>
      <c r="H693" t="s">
        <v>1134</v>
      </c>
    </row>
    <row r="694" spans="1:8" x14ac:dyDescent="0.25">
      <c r="A694" t="s">
        <v>107</v>
      </c>
      <c r="B694" t="s">
        <v>800</v>
      </c>
      <c r="C694" t="s">
        <v>1111</v>
      </c>
      <c r="D694" t="s">
        <v>1123</v>
      </c>
      <c r="E694">
        <v>87.2</v>
      </c>
      <c r="F694">
        <v>745316</v>
      </c>
      <c r="G694" t="s">
        <v>1132</v>
      </c>
      <c r="H694" t="s">
        <v>1133</v>
      </c>
    </row>
    <row r="695" spans="1:8" x14ac:dyDescent="0.25">
      <c r="A695" t="s">
        <v>44</v>
      </c>
      <c r="B695" t="s">
        <v>801</v>
      </c>
      <c r="C695" t="s">
        <v>1110</v>
      </c>
      <c r="D695" t="s">
        <v>1126</v>
      </c>
      <c r="E695">
        <v>48.02</v>
      </c>
      <c r="F695">
        <v>774632</v>
      </c>
      <c r="G695" t="s">
        <v>1131</v>
      </c>
      <c r="H695" t="s">
        <v>1133</v>
      </c>
    </row>
    <row r="696" spans="1:8" x14ac:dyDescent="0.25">
      <c r="A696" t="s">
        <v>28</v>
      </c>
      <c r="B696" t="s">
        <v>802</v>
      </c>
      <c r="C696" t="s">
        <v>1112</v>
      </c>
      <c r="D696" t="s">
        <v>1118</v>
      </c>
      <c r="E696">
        <v>64.94</v>
      </c>
      <c r="F696">
        <v>677194</v>
      </c>
      <c r="G696" t="s">
        <v>1128</v>
      </c>
      <c r="H696" t="s">
        <v>1134</v>
      </c>
    </row>
    <row r="697" spans="1:8" x14ac:dyDescent="0.25">
      <c r="A697" t="s">
        <v>106</v>
      </c>
      <c r="B697" t="s">
        <v>803</v>
      </c>
      <c r="C697" t="s">
        <v>1114</v>
      </c>
      <c r="D697" t="s">
        <v>1120</v>
      </c>
      <c r="E697">
        <v>69.540000000000006</v>
      </c>
      <c r="F697">
        <v>139780</v>
      </c>
      <c r="G697" t="s">
        <v>1132</v>
      </c>
      <c r="H697" t="s">
        <v>1133</v>
      </c>
    </row>
    <row r="698" spans="1:8" x14ac:dyDescent="0.25">
      <c r="A698" t="s">
        <v>45</v>
      </c>
      <c r="B698" t="s">
        <v>804</v>
      </c>
      <c r="C698" t="s">
        <v>1115</v>
      </c>
      <c r="D698" t="s">
        <v>1120</v>
      </c>
      <c r="E698">
        <v>78.22</v>
      </c>
      <c r="F698">
        <v>462898</v>
      </c>
      <c r="G698" t="s">
        <v>1132</v>
      </c>
      <c r="H698" t="s">
        <v>1133</v>
      </c>
    </row>
    <row r="699" spans="1:8" x14ac:dyDescent="0.25">
      <c r="A699" t="s">
        <v>43</v>
      </c>
      <c r="B699" t="s">
        <v>805</v>
      </c>
      <c r="C699" t="s">
        <v>1116</v>
      </c>
      <c r="D699" t="s">
        <v>1119</v>
      </c>
      <c r="E699">
        <v>68.709999999999994</v>
      </c>
      <c r="F699">
        <v>255571</v>
      </c>
      <c r="G699" t="s">
        <v>1132</v>
      </c>
      <c r="H699" t="s">
        <v>1133</v>
      </c>
    </row>
    <row r="700" spans="1:8" x14ac:dyDescent="0.25">
      <c r="A700" t="s">
        <v>36</v>
      </c>
      <c r="B700" t="s">
        <v>806</v>
      </c>
      <c r="C700" t="s">
        <v>1117</v>
      </c>
      <c r="D700" t="s">
        <v>1121</v>
      </c>
      <c r="E700">
        <v>95.3</v>
      </c>
      <c r="F700">
        <v>951631</v>
      </c>
      <c r="G700" t="s">
        <v>1129</v>
      </c>
      <c r="H700" t="s">
        <v>1133</v>
      </c>
    </row>
    <row r="701" spans="1:8" x14ac:dyDescent="0.25">
      <c r="A701" t="s">
        <v>91</v>
      </c>
      <c r="B701" t="s">
        <v>807</v>
      </c>
      <c r="C701" t="s">
        <v>1109</v>
      </c>
      <c r="D701" t="s">
        <v>1122</v>
      </c>
      <c r="E701">
        <v>46.33</v>
      </c>
      <c r="F701">
        <v>636540</v>
      </c>
      <c r="G701" t="s">
        <v>1130</v>
      </c>
      <c r="H701" t="s">
        <v>1133</v>
      </c>
    </row>
    <row r="702" spans="1:8" x14ac:dyDescent="0.25">
      <c r="A702" t="s">
        <v>22</v>
      </c>
      <c r="B702" t="s">
        <v>808</v>
      </c>
      <c r="C702" t="s">
        <v>1111</v>
      </c>
      <c r="D702" t="s">
        <v>1122</v>
      </c>
      <c r="E702">
        <v>43.17</v>
      </c>
      <c r="F702">
        <v>852573</v>
      </c>
      <c r="G702" t="s">
        <v>1129</v>
      </c>
      <c r="H702" t="s">
        <v>1133</v>
      </c>
    </row>
    <row r="703" spans="1:8" x14ac:dyDescent="0.25">
      <c r="A703" t="s">
        <v>33</v>
      </c>
      <c r="B703" t="s">
        <v>809</v>
      </c>
      <c r="C703" t="s">
        <v>1116</v>
      </c>
      <c r="D703" t="s">
        <v>1123</v>
      </c>
      <c r="E703">
        <v>96.66</v>
      </c>
      <c r="F703">
        <v>561652</v>
      </c>
      <c r="G703" t="s">
        <v>1132</v>
      </c>
      <c r="H703" t="s">
        <v>1133</v>
      </c>
    </row>
    <row r="704" spans="1:8" x14ac:dyDescent="0.25">
      <c r="A704" t="s">
        <v>35</v>
      </c>
      <c r="B704" t="s">
        <v>810</v>
      </c>
      <c r="C704" t="s">
        <v>1114</v>
      </c>
      <c r="D704" t="s">
        <v>1122</v>
      </c>
      <c r="E704">
        <v>54.67</v>
      </c>
      <c r="F704">
        <v>710724</v>
      </c>
      <c r="G704" t="s">
        <v>1129</v>
      </c>
      <c r="H704" t="s">
        <v>1133</v>
      </c>
    </row>
    <row r="705" spans="1:8" x14ac:dyDescent="0.25">
      <c r="A705" t="s">
        <v>95</v>
      </c>
      <c r="B705" t="s">
        <v>811</v>
      </c>
      <c r="C705" t="s">
        <v>1115</v>
      </c>
      <c r="D705" t="s">
        <v>1121</v>
      </c>
      <c r="E705">
        <v>84.44</v>
      </c>
      <c r="F705">
        <v>966132</v>
      </c>
      <c r="G705" t="s">
        <v>1129</v>
      </c>
      <c r="H705" t="s">
        <v>1133</v>
      </c>
    </row>
    <row r="706" spans="1:8" x14ac:dyDescent="0.25">
      <c r="A706" t="s">
        <v>51</v>
      </c>
      <c r="B706" t="s">
        <v>812</v>
      </c>
      <c r="C706" t="s">
        <v>1110</v>
      </c>
      <c r="D706" t="s">
        <v>1123</v>
      </c>
      <c r="E706">
        <v>94.42</v>
      </c>
      <c r="F706">
        <v>477748</v>
      </c>
      <c r="G706" t="s">
        <v>1128</v>
      </c>
      <c r="H706" t="s">
        <v>1133</v>
      </c>
    </row>
    <row r="707" spans="1:8" x14ac:dyDescent="0.25">
      <c r="A707" t="s">
        <v>71</v>
      </c>
      <c r="B707" t="s">
        <v>813</v>
      </c>
      <c r="C707" t="s">
        <v>1112</v>
      </c>
      <c r="D707" t="s">
        <v>1123</v>
      </c>
      <c r="E707">
        <v>37.64</v>
      </c>
      <c r="F707">
        <v>146347</v>
      </c>
      <c r="G707" t="s">
        <v>1132</v>
      </c>
      <c r="H707" t="s">
        <v>1134</v>
      </c>
    </row>
    <row r="708" spans="1:8" x14ac:dyDescent="0.25">
      <c r="A708" t="s">
        <v>66</v>
      </c>
      <c r="B708" t="s">
        <v>814</v>
      </c>
      <c r="C708" t="s">
        <v>1109</v>
      </c>
      <c r="D708" t="s">
        <v>1124</v>
      </c>
      <c r="E708">
        <v>83.67</v>
      </c>
      <c r="F708">
        <v>230942</v>
      </c>
      <c r="G708" t="s">
        <v>1128</v>
      </c>
      <c r="H708" t="s">
        <v>1133</v>
      </c>
    </row>
    <row r="709" spans="1:8" x14ac:dyDescent="0.25">
      <c r="A709" t="s">
        <v>19</v>
      </c>
      <c r="B709" t="s">
        <v>815</v>
      </c>
      <c r="C709" t="s">
        <v>1111</v>
      </c>
      <c r="D709" t="s">
        <v>1124</v>
      </c>
      <c r="E709">
        <v>98.05</v>
      </c>
      <c r="F709">
        <v>546606</v>
      </c>
      <c r="G709" t="s">
        <v>1130</v>
      </c>
      <c r="H709" t="s">
        <v>1133</v>
      </c>
    </row>
    <row r="710" spans="1:8" x14ac:dyDescent="0.25">
      <c r="A710" t="s">
        <v>15</v>
      </c>
      <c r="B710" t="s">
        <v>816</v>
      </c>
      <c r="C710" t="s">
        <v>1116</v>
      </c>
      <c r="D710" t="s">
        <v>1125</v>
      </c>
      <c r="E710">
        <v>59</v>
      </c>
      <c r="F710">
        <v>610852</v>
      </c>
      <c r="G710" t="s">
        <v>1130</v>
      </c>
      <c r="H710" t="s">
        <v>1133</v>
      </c>
    </row>
    <row r="711" spans="1:8" x14ac:dyDescent="0.25">
      <c r="A711" t="s">
        <v>75</v>
      </c>
      <c r="B711" t="s">
        <v>817</v>
      </c>
      <c r="C711" t="s">
        <v>1117</v>
      </c>
      <c r="D711" t="s">
        <v>1125</v>
      </c>
      <c r="E711">
        <v>83.41</v>
      </c>
      <c r="F711">
        <v>417900</v>
      </c>
      <c r="G711" t="s">
        <v>1128</v>
      </c>
      <c r="H711" t="s">
        <v>1133</v>
      </c>
    </row>
    <row r="712" spans="1:8" x14ac:dyDescent="0.25">
      <c r="A712" t="s">
        <v>14</v>
      </c>
      <c r="B712" t="s">
        <v>818</v>
      </c>
      <c r="C712" t="s">
        <v>1109</v>
      </c>
      <c r="D712" t="s">
        <v>1127</v>
      </c>
      <c r="E712">
        <v>94.4</v>
      </c>
      <c r="F712">
        <v>975194</v>
      </c>
      <c r="G712" t="s">
        <v>1132</v>
      </c>
      <c r="H712" t="s">
        <v>1133</v>
      </c>
    </row>
    <row r="713" spans="1:8" x14ac:dyDescent="0.25">
      <c r="A713" t="s">
        <v>73</v>
      </c>
      <c r="B713" t="s">
        <v>819</v>
      </c>
      <c r="C713" t="s">
        <v>1116</v>
      </c>
      <c r="D713" t="s">
        <v>1120</v>
      </c>
      <c r="E713">
        <v>74.709999999999994</v>
      </c>
      <c r="F713">
        <v>548718</v>
      </c>
      <c r="G713" t="s">
        <v>1132</v>
      </c>
      <c r="H713" t="s">
        <v>1134</v>
      </c>
    </row>
    <row r="714" spans="1:8" x14ac:dyDescent="0.25">
      <c r="A714" t="s">
        <v>55</v>
      </c>
      <c r="B714" t="s">
        <v>820</v>
      </c>
      <c r="C714" t="s">
        <v>1114</v>
      </c>
      <c r="D714" t="s">
        <v>1127</v>
      </c>
      <c r="E714">
        <v>91.73</v>
      </c>
      <c r="F714">
        <v>739688</v>
      </c>
      <c r="G714" t="s">
        <v>1132</v>
      </c>
      <c r="H714" t="s">
        <v>1133</v>
      </c>
    </row>
    <row r="715" spans="1:8" x14ac:dyDescent="0.25">
      <c r="A715" t="s">
        <v>62</v>
      </c>
      <c r="B715" t="s">
        <v>821</v>
      </c>
      <c r="C715" t="s">
        <v>1113</v>
      </c>
      <c r="D715" t="s">
        <v>1125</v>
      </c>
      <c r="E715">
        <v>76.95</v>
      </c>
      <c r="F715">
        <v>508507</v>
      </c>
      <c r="G715" t="s">
        <v>1131</v>
      </c>
      <c r="H715" t="s">
        <v>1133</v>
      </c>
    </row>
    <row r="716" spans="1:8" x14ac:dyDescent="0.25">
      <c r="A716" t="s">
        <v>92</v>
      </c>
      <c r="B716" t="s">
        <v>822</v>
      </c>
      <c r="C716" t="s">
        <v>1116</v>
      </c>
      <c r="D716" t="s">
        <v>1121</v>
      </c>
      <c r="E716">
        <v>91.68</v>
      </c>
      <c r="F716">
        <v>869916</v>
      </c>
      <c r="G716" t="s">
        <v>1132</v>
      </c>
      <c r="H716" t="s">
        <v>1134</v>
      </c>
    </row>
    <row r="717" spans="1:8" x14ac:dyDescent="0.25">
      <c r="A717" t="s">
        <v>24</v>
      </c>
      <c r="B717" t="s">
        <v>823</v>
      </c>
      <c r="C717" t="s">
        <v>1117</v>
      </c>
      <c r="D717" t="s">
        <v>1122</v>
      </c>
      <c r="E717">
        <v>53.1</v>
      </c>
      <c r="F717">
        <v>737109</v>
      </c>
      <c r="G717" t="s">
        <v>1132</v>
      </c>
      <c r="H717" t="s">
        <v>1133</v>
      </c>
    </row>
    <row r="718" spans="1:8" x14ac:dyDescent="0.25">
      <c r="A718" t="s">
        <v>59</v>
      </c>
      <c r="B718" t="s">
        <v>824</v>
      </c>
      <c r="C718" t="s">
        <v>1108</v>
      </c>
      <c r="D718" t="s">
        <v>1121</v>
      </c>
      <c r="E718">
        <v>85.66</v>
      </c>
      <c r="F718">
        <v>384161</v>
      </c>
      <c r="G718" t="s">
        <v>1132</v>
      </c>
      <c r="H718" t="s">
        <v>1133</v>
      </c>
    </row>
    <row r="719" spans="1:8" x14ac:dyDescent="0.25">
      <c r="A719" t="s">
        <v>32</v>
      </c>
      <c r="B719" t="s">
        <v>825</v>
      </c>
      <c r="C719" t="s">
        <v>1116</v>
      </c>
      <c r="D719" t="s">
        <v>1127</v>
      </c>
      <c r="E719">
        <v>62.15</v>
      </c>
      <c r="F719">
        <v>829000</v>
      </c>
      <c r="G719" t="s">
        <v>1128</v>
      </c>
      <c r="H719" t="s">
        <v>1133</v>
      </c>
    </row>
    <row r="720" spans="1:8" x14ac:dyDescent="0.25">
      <c r="A720" t="s">
        <v>35</v>
      </c>
      <c r="B720" t="s">
        <v>826</v>
      </c>
      <c r="C720" t="s">
        <v>1113</v>
      </c>
      <c r="D720" t="s">
        <v>1120</v>
      </c>
      <c r="E720">
        <v>56.16</v>
      </c>
      <c r="F720">
        <v>384505</v>
      </c>
      <c r="G720" t="s">
        <v>1132</v>
      </c>
      <c r="H720" t="s">
        <v>1133</v>
      </c>
    </row>
    <row r="721" spans="1:8" x14ac:dyDescent="0.25">
      <c r="A721" t="s">
        <v>34</v>
      </c>
      <c r="B721" t="s">
        <v>827</v>
      </c>
      <c r="C721" t="s">
        <v>1109</v>
      </c>
      <c r="D721" t="s">
        <v>1119</v>
      </c>
      <c r="E721">
        <v>38.29</v>
      </c>
      <c r="F721">
        <v>470034</v>
      </c>
      <c r="G721" t="s">
        <v>1132</v>
      </c>
      <c r="H721" t="s">
        <v>1134</v>
      </c>
    </row>
    <row r="722" spans="1:8" x14ac:dyDescent="0.25">
      <c r="A722" t="s">
        <v>35</v>
      </c>
      <c r="B722" t="s">
        <v>828</v>
      </c>
      <c r="C722" t="s">
        <v>1115</v>
      </c>
      <c r="D722" t="s">
        <v>1119</v>
      </c>
      <c r="E722">
        <v>39.6</v>
      </c>
      <c r="F722">
        <v>110394</v>
      </c>
      <c r="G722" t="s">
        <v>1130</v>
      </c>
      <c r="H722" t="s">
        <v>1133</v>
      </c>
    </row>
    <row r="723" spans="1:8" x14ac:dyDescent="0.25">
      <c r="A723" t="s">
        <v>24</v>
      </c>
      <c r="B723" t="s">
        <v>829</v>
      </c>
      <c r="C723" t="s">
        <v>1111</v>
      </c>
      <c r="D723" t="s">
        <v>1126</v>
      </c>
      <c r="E723">
        <v>39.549999999999997</v>
      </c>
      <c r="F723">
        <v>585452</v>
      </c>
      <c r="G723" t="s">
        <v>1131</v>
      </c>
      <c r="H723" t="s">
        <v>1133</v>
      </c>
    </row>
    <row r="724" spans="1:8" x14ac:dyDescent="0.25">
      <c r="A724" t="s">
        <v>58</v>
      </c>
      <c r="B724" t="s">
        <v>830</v>
      </c>
      <c r="C724" t="s">
        <v>1116</v>
      </c>
      <c r="D724" t="s">
        <v>1124</v>
      </c>
      <c r="E724">
        <v>65.900000000000006</v>
      </c>
      <c r="F724">
        <v>159094</v>
      </c>
      <c r="G724" t="s">
        <v>1130</v>
      </c>
      <c r="H724" t="s">
        <v>1133</v>
      </c>
    </row>
    <row r="725" spans="1:8" x14ac:dyDescent="0.25">
      <c r="A725" t="s">
        <v>96</v>
      </c>
      <c r="B725" t="s">
        <v>831</v>
      </c>
      <c r="C725" t="s">
        <v>1109</v>
      </c>
      <c r="D725" t="s">
        <v>1119</v>
      </c>
      <c r="E725">
        <v>70.86</v>
      </c>
      <c r="F725">
        <v>471380</v>
      </c>
      <c r="G725" t="s">
        <v>1130</v>
      </c>
      <c r="H725" t="s">
        <v>1133</v>
      </c>
    </row>
    <row r="726" spans="1:8" x14ac:dyDescent="0.25">
      <c r="A726" t="s">
        <v>29</v>
      </c>
      <c r="B726" t="s">
        <v>832</v>
      </c>
      <c r="C726" t="s">
        <v>1113</v>
      </c>
      <c r="D726" t="s">
        <v>1120</v>
      </c>
      <c r="E726">
        <v>96.52</v>
      </c>
      <c r="F726">
        <v>144617</v>
      </c>
      <c r="G726" t="s">
        <v>1130</v>
      </c>
      <c r="H726" t="s">
        <v>1133</v>
      </c>
    </row>
    <row r="727" spans="1:8" x14ac:dyDescent="0.25">
      <c r="A727" t="s">
        <v>105</v>
      </c>
      <c r="B727" t="s">
        <v>833</v>
      </c>
      <c r="C727" t="s">
        <v>1111</v>
      </c>
      <c r="D727" t="s">
        <v>1127</v>
      </c>
      <c r="E727">
        <v>98.71</v>
      </c>
      <c r="F727">
        <v>394084</v>
      </c>
      <c r="G727" t="s">
        <v>1131</v>
      </c>
      <c r="H727" t="s">
        <v>1133</v>
      </c>
    </row>
    <row r="728" spans="1:8" x14ac:dyDescent="0.25">
      <c r="A728" t="s">
        <v>107</v>
      </c>
      <c r="B728" t="s">
        <v>834</v>
      </c>
      <c r="C728" t="s">
        <v>1117</v>
      </c>
      <c r="D728" t="s">
        <v>1122</v>
      </c>
      <c r="E728">
        <v>51.98</v>
      </c>
      <c r="F728">
        <v>998507</v>
      </c>
      <c r="G728" t="s">
        <v>1131</v>
      </c>
      <c r="H728" t="s">
        <v>1133</v>
      </c>
    </row>
    <row r="729" spans="1:8" x14ac:dyDescent="0.25">
      <c r="A729" t="s">
        <v>77</v>
      </c>
      <c r="B729" t="s">
        <v>835</v>
      </c>
      <c r="C729" t="s">
        <v>1117</v>
      </c>
      <c r="D729" t="s">
        <v>1119</v>
      </c>
      <c r="E729">
        <v>67.62</v>
      </c>
      <c r="F729">
        <v>612945</v>
      </c>
      <c r="G729" t="s">
        <v>1131</v>
      </c>
      <c r="H729" t="s">
        <v>1134</v>
      </c>
    </row>
    <row r="730" spans="1:8" x14ac:dyDescent="0.25">
      <c r="A730" t="s">
        <v>86</v>
      </c>
      <c r="B730" t="s">
        <v>836</v>
      </c>
      <c r="C730" t="s">
        <v>1113</v>
      </c>
      <c r="D730" t="s">
        <v>1124</v>
      </c>
      <c r="E730">
        <v>90.59</v>
      </c>
      <c r="F730">
        <v>939008</v>
      </c>
      <c r="G730" t="s">
        <v>1129</v>
      </c>
      <c r="H730" t="s">
        <v>1133</v>
      </c>
    </row>
    <row r="731" spans="1:8" x14ac:dyDescent="0.25">
      <c r="A731" t="s">
        <v>58</v>
      </c>
      <c r="B731" t="s">
        <v>837</v>
      </c>
      <c r="C731" t="s">
        <v>1108</v>
      </c>
      <c r="D731" t="s">
        <v>1119</v>
      </c>
      <c r="E731">
        <v>71.430000000000007</v>
      </c>
      <c r="F731">
        <v>675619</v>
      </c>
      <c r="G731" t="s">
        <v>1131</v>
      </c>
      <c r="H731" t="s">
        <v>1133</v>
      </c>
    </row>
    <row r="732" spans="1:8" x14ac:dyDescent="0.25">
      <c r="A732" t="s">
        <v>67</v>
      </c>
      <c r="B732" t="s">
        <v>838</v>
      </c>
      <c r="C732" t="s">
        <v>1113</v>
      </c>
      <c r="D732" t="s">
        <v>1125</v>
      </c>
      <c r="E732">
        <v>64.790000000000006</v>
      </c>
      <c r="F732">
        <v>572582</v>
      </c>
      <c r="G732" t="s">
        <v>1132</v>
      </c>
      <c r="H732" t="s">
        <v>1133</v>
      </c>
    </row>
    <row r="733" spans="1:8" x14ac:dyDescent="0.25">
      <c r="A733" t="s">
        <v>26</v>
      </c>
      <c r="B733" t="s">
        <v>839</v>
      </c>
      <c r="C733" t="s">
        <v>1116</v>
      </c>
      <c r="D733" t="s">
        <v>1119</v>
      </c>
      <c r="E733">
        <v>99.86</v>
      </c>
      <c r="F733">
        <v>354332</v>
      </c>
      <c r="G733" t="s">
        <v>1130</v>
      </c>
      <c r="H733" t="s">
        <v>1133</v>
      </c>
    </row>
    <row r="734" spans="1:8" x14ac:dyDescent="0.25">
      <c r="A734" t="s">
        <v>105</v>
      </c>
      <c r="B734" t="s">
        <v>840</v>
      </c>
      <c r="C734" t="s">
        <v>1109</v>
      </c>
      <c r="D734" t="s">
        <v>1118</v>
      </c>
      <c r="E734">
        <v>49.63</v>
      </c>
      <c r="F734">
        <v>126750</v>
      </c>
      <c r="G734" t="s">
        <v>1132</v>
      </c>
      <c r="H734" t="s">
        <v>1133</v>
      </c>
    </row>
    <row r="735" spans="1:8" x14ac:dyDescent="0.25">
      <c r="A735" t="s">
        <v>9</v>
      </c>
      <c r="B735" t="s">
        <v>841</v>
      </c>
      <c r="C735" t="s">
        <v>1113</v>
      </c>
      <c r="D735" t="s">
        <v>1126</v>
      </c>
      <c r="E735">
        <v>45.55</v>
      </c>
      <c r="F735">
        <v>682353</v>
      </c>
      <c r="G735" t="s">
        <v>1128</v>
      </c>
      <c r="H735" t="s">
        <v>1133</v>
      </c>
    </row>
    <row r="736" spans="1:8" x14ac:dyDescent="0.25">
      <c r="A736" t="s">
        <v>8</v>
      </c>
      <c r="B736" t="s">
        <v>842</v>
      </c>
      <c r="C736" t="s">
        <v>1112</v>
      </c>
      <c r="D736" t="s">
        <v>1122</v>
      </c>
      <c r="E736">
        <v>47.02</v>
      </c>
      <c r="F736">
        <v>738803</v>
      </c>
      <c r="G736" t="s">
        <v>1132</v>
      </c>
      <c r="H736" t="s">
        <v>1134</v>
      </c>
    </row>
    <row r="737" spans="1:8" x14ac:dyDescent="0.25">
      <c r="A737" t="s">
        <v>33</v>
      </c>
      <c r="B737" t="s">
        <v>843</v>
      </c>
      <c r="C737" t="s">
        <v>1108</v>
      </c>
      <c r="D737" t="s">
        <v>1125</v>
      </c>
      <c r="E737">
        <v>69.33</v>
      </c>
      <c r="F737">
        <v>678898</v>
      </c>
      <c r="G737" t="s">
        <v>1132</v>
      </c>
      <c r="H737" t="s">
        <v>1134</v>
      </c>
    </row>
    <row r="738" spans="1:8" x14ac:dyDescent="0.25">
      <c r="A738" t="s">
        <v>32</v>
      </c>
      <c r="B738" t="s">
        <v>844</v>
      </c>
      <c r="C738" t="s">
        <v>1116</v>
      </c>
      <c r="D738" t="s">
        <v>1120</v>
      </c>
      <c r="E738">
        <v>98.51</v>
      </c>
      <c r="F738">
        <v>321598</v>
      </c>
      <c r="G738" t="s">
        <v>1130</v>
      </c>
      <c r="H738" t="s">
        <v>1134</v>
      </c>
    </row>
    <row r="739" spans="1:8" x14ac:dyDescent="0.25">
      <c r="A739" t="s">
        <v>98</v>
      </c>
      <c r="B739" t="s">
        <v>845</v>
      </c>
      <c r="C739" t="s">
        <v>1113</v>
      </c>
      <c r="D739" t="s">
        <v>1123</v>
      </c>
      <c r="E739">
        <v>87.71</v>
      </c>
      <c r="F739">
        <v>352518</v>
      </c>
      <c r="G739" t="s">
        <v>1132</v>
      </c>
      <c r="H739" t="s">
        <v>1133</v>
      </c>
    </row>
    <row r="740" spans="1:8" x14ac:dyDescent="0.25">
      <c r="A740" t="s">
        <v>77</v>
      </c>
      <c r="B740" t="s">
        <v>846</v>
      </c>
      <c r="C740" t="s">
        <v>1113</v>
      </c>
      <c r="D740" t="s">
        <v>1124</v>
      </c>
      <c r="E740">
        <v>60.11</v>
      </c>
      <c r="F740">
        <v>711068</v>
      </c>
      <c r="G740" t="s">
        <v>1132</v>
      </c>
      <c r="H740" t="s">
        <v>1134</v>
      </c>
    </row>
    <row r="741" spans="1:8" x14ac:dyDescent="0.25">
      <c r="A741" t="s">
        <v>82</v>
      </c>
      <c r="B741" t="s">
        <v>847</v>
      </c>
      <c r="C741" t="s">
        <v>1116</v>
      </c>
      <c r="D741" t="s">
        <v>1123</v>
      </c>
      <c r="E741">
        <v>50.36</v>
      </c>
      <c r="F741">
        <v>984138</v>
      </c>
      <c r="G741" t="s">
        <v>1129</v>
      </c>
      <c r="H741" t="s">
        <v>1133</v>
      </c>
    </row>
    <row r="742" spans="1:8" x14ac:dyDescent="0.25">
      <c r="A742" t="s">
        <v>22</v>
      </c>
      <c r="B742" t="s">
        <v>848</v>
      </c>
      <c r="C742" t="s">
        <v>1115</v>
      </c>
      <c r="D742" t="s">
        <v>1124</v>
      </c>
      <c r="E742">
        <v>88.78</v>
      </c>
      <c r="F742">
        <v>137098</v>
      </c>
      <c r="G742" t="s">
        <v>1130</v>
      </c>
      <c r="H742" t="s">
        <v>1134</v>
      </c>
    </row>
    <row r="743" spans="1:8" x14ac:dyDescent="0.25">
      <c r="A743" t="s">
        <v>27</v>
      </c>
      <c r="B743" t="s">
        <v>849</v>
      </c>
      <c r="C743" t="s">
        <v>1116</v>
      </c>
      <c r="D743" t="s">
        <v>1121</v>
      </c>
      <c r="E743">
        <v>52.07</v>
      </c>
      <c r="F743">
        <v>953997</v>
      </c>
      <c r="G743" t="s">
        <v>1132</v>
      </c>
      <c r="H743" t="s">
        <v>1133</v>
      </c>
    </row>
    <row r="744" spans="1:8" x14ac:dyDescent="0.25">
      <c r="A744" t="s">
        <v>60</v>
      </c>
      <c r="B744" t="s">
        <v>850</v>
      </c>
      <c r="C744" t="s">
        <v>1110</v>
      </c>
      <c r="D744" t="s">
        <v>1123</v>
      </c>
      <c r="E744">
        <v>67.599999999999994</v>
      </c>
      <c r="F744">
        <v>386464</v>
      </c>
      <c r="G744" t="s">
        <v>1129</v>
      </c>
      <c r="H744" t="s">
        <v>1133</v>
      </c>
    </row>
    <row r="745" spans="1:8" x14ac:dyDescent="0.25">
      <c r="A745" t="s">
        <v>11</v>
      </c>
      <c r="B745" t="s">
        <v>851</v>
      </c>
      <c r="C745" t="s">
        <v>1117</v>
      </c>
      <c r="D745" t="s">
        <v>1124</v>
      </c>
      <c r="E745">
        <v>53.95</v>
      </c>
      <c r="F745">
        <v>593940</v>
      </c>
      <c r="G745" t="s">
        <v>1130</v>
      </c>
      <c r="H745" t="s">
        <v>1133</v>
      </c>
    </row>
    <row r="746" spans="1:8" x14ac:dyDescent="0.25">
      <c r="A746" t="s">
        <v>77</v>
      </c>
      <c r="B746" t="s">
        <v>852</v>
      </c>
      <c r="C746" t="s">
        <v>1117</v>
      </c>
      <c r="D746" t="s">
        <v>1126</v>
      </c>
      <c r="E746">
        <v>76.08</v>
      </c>
      <c r="F746">
        <v>541177</v>
      </c>
      <c r="G746" t="s">
        <v>1130</v>
      </c>
      <c r="H746" t="s">
        <v>1133</v>
      </c>
    </row>
    <row r="747" spans="1:8" x14ac:dyDescent="0.25">
      <c r="A747" t="s">
        <v>33</v>
      </c>
      <c r="B747" t="s">
        <v>853</v>
      </c>
      <c r="C747" t="s">
        <v>1111</v>
      </c>
      <c r="D747" t="s">
        <v>1121</v>
      </c>
      <c r="E747">
        <v>63.22</v>
      </c>
      <c r="F747">
        <v>158477</v>
      </c>
      <c r="G747" t="s">
        <v>1131</v>
      </c>
      <c r="H747" t="s">
        <v>1133</v>
      </c>
    </row>
    <row r="748" spans="1:8" x14ac:dyDescent="0.25">
      <c r="A748" t="s">
        <v>62</v>
      </c>
      <c r="B748" t="s">
        <v>854</v>
      </c>
      <c r="C748" t="s">
        <v>1110</v>
      </c>
      <c r="D748" t="s">
        <v>1121</v>
      </c>
      <c r="E748">
        <v>84.36</v>
      </c>
      <c r="F748">
        <v>520101</v>
      </c>
      <c r="G748" t="s">
        <v>1131</v>
      </c>
      <c r="H748" t="s">
        <v>1133</v>
      </c>
    </row>
    <row r="749" spans="1:8" x14ac:dyDescent="0.25">
      <c r="A749" t="s">
        <v>89</v>
      </c>
      <c r="B749" t="s">
        <v>855</v>
      </c>
      <c r="C749" t="s">
        <v>1115</v>
      </c>
      <c r="D749" t="s">
        <v>1123</v>
      </c>
      <c r="E749">
        <v>37.78</v>
      </c>
      <c r="F749">
        <v>737829</v>
      </c>
      <c r="G749" t="s">
        <v>1129</v>
      </c>
      <c r="H749" t="s">
        <v>1133</v>
      </c>
    </row>
    <row r="750" spans="1:8" x14ac:dyDescent="0.25">
      <c r="A750" t="s">
        <v>23</v>
      </c>
      <c r="B750" t="s">
        <v>856</v>
      </c>
      <c r="C750" t="s">
        <v>1108</v>
      </c>
      <c r="D750" t="s">
        <v>1127</v>
      </c>
      <c r="E750">
        <v>36.64</v>
      </c>
      <c r="F750">
        <v>204251</v>
      </c>
      <c r="G750" t="s">
        <v>1131</v>
      </c>
      <c r="H750" t="s">
        <v>1133</v>
      </c>
    </row>
    <row r="751" spans="1:8" x14ac:dyDescent="0.25">
      <c r="A751" t="s">
        <v>62</v>
      </c>
      <c r="B751" t="s">
        <v>857</v>
      </c>
      <c r="C751" t="s">
        <v>1117</v>
      </c>
      <c r="D751" t="s">
        <v>1120</v>
      </c>
      <c r="E751">
        <v>47.28</v>
      </c>
      <c r="F751">
        <v>949442</v>
      </c>
      <c r="G751" t="s">
        <v>1131</v>
      </c>
      <c r="H751" t="s">
        <v>1133</v>
      </c>
    </row>
    <row r="752" spans="1:8" x14ac:dyDescent="0.25">
      <c r="A752" t="s">
        <v>57</v>
      </c>
      <c r="B752" t="s">
        <v>858</v>
      </c>
      <c r="C752" t="s">
        <v>1113</v>
      </c>
      <c r="D752" t="s">
        <v>1118</v>
      </c>
      <c r="E752">
        <v>76.41</v>
      </c>
      <c r="F752">
        <v>896925</v>
      </c>
      <c r="G752" t="s">
        <v>1128</v>
      </c>
      <c r="H752" t="s">
        <v>1134</v>
      </c>
    </row>
    <row r="753" spans="1:8" x14ac:dyDescent="0.25">
      <c r="A753" t="s">
        <v>14</v>
      </c>
      <c r="B753" t="s">
        <v>859</v>
      </c>
      <c r="C753" t="s">
        <v>1109</v>
      </c>
      <c r="D753" t="s">
        <v>1124</v>
      </c>
      <c r="E753">
        <v>61.34</v>
      </c>
      <c r="F753">
        <v>403044</v>
      </c>
      <c r="G753" t="s">
        <v>1129</v>
      </c>
      <c r="H753" t="s">
        <v>1133</v>
      </c>
    </row>
    <row r="754" spans="1:8" x14ac:dyDescent="0.25">
      <c r="A754" t="s">
        <v>92</v>
      </c>
      <c r="B754" t="s">
        <v>860</v>
      </c>
      <c r="C754" t="s">
        <v>1116</v>
      </c>
      <c r="D754" t="s">
        <v>1118</v>
      </c>
      <c r="E754">
        <v>56.41</v>
      </c>
      <c r="F754">
        <v>858252</v>
      </c>
      <c r="G754" t="s">
        <v>1129</v>
      </c>
      <c r="H754" t="s">
        <v>1133</v>
      </c>
    </row>
    <row r="755" spans="1:8" x14ac:dyDescent="0.25">
      <c r="A755" t="s">
        <v>33</v>
      </c>
      <c r="B755" t="s">
        <v>861</v>
      </c>
      <c r="C755" t="s">
        <v>1109</v>
      </c>
      <c r="D755" t="s">
        <v>1125</v>
      </c>
      <c r="E755">
        <v>78.02</v>
      </c>
      <c r="F755">
        <v>395224</v>
      </c>
      <c r="G755" t="s">
        <v>1130</v>
      </c>
      <c r="H755" t="s">
        <v>1134</v>
      </c>
    </row>
    <row r="756" spans="1:8" x14ac:dyDescent="0.25">
      <c r="A756" t="s">
        <v>20</v>
      </c>
      <c r="B756" t="s">
        <v>862</v>
      </c>
      <c r="C756" t="s">
        <v>1111</v>
      </c>
      <c r="D756" t="s">
        <v>1125</v>
      </c>
      <c r="E756">
        <v>99.65</v>
      </c>
      <c r="F756">
        <v>631828</v>
      </c>
      <c r="G756" t="s">
        <v>1131</v>
      </c>
      <c r="H756" t="s">
        <v>1134</v>
      </c>
    </row>
    <row r="757" spans="1:8" x14ac:dyDescent="0.25">
      <c r="A757" t="s">
        <v>13</v>
      </c>
      <c r="B757" t="s">
        <v>863</v>
      </c>
      <c r="C757" t="s">
        <v>1110</v>
      </c>
      <c r="D757" t="s">
        <v>1126</v>
      </c>
      <c r="E757">
        <v>97.44</v>
      </c>
      <c r="F757">
        <v>637665</v>
      </c>
      <c r="G757" t="s">
        <v>1131</v>
      </c>
      <c r="H757" t="s">
        <v>1134</v>
      </c>
    </row>
    <row r="758" spans="1:8" x14ac:dyDescent="0.25">
      <c r="A758" t="s">
        <v>84</v>
      </c>
      <c r="B758" t="s">
        <v>864</v>
      </c>
      <c r="C758" t="s">
        <v>1114</v>
      </c>
      <c r="D758" t="s">
        <v>1125</v>
      </c>
      <c r="E758">
        <v>82.87</v>
      </c>
      <c r="F758">
        <v>883100</v>
      </c>
      <c r="G758" t="s">
        <v>1129</v>
      </c>
      <c r="H758" t="s">
        <v>1133</v>
      </c>
    </row>
    <row r="759" spans="1:8" x14ac:dyDescent="0.25">
      <c r="A759" t="s">
        <v>104</v>
      </c>
      <c r="B759" t="s">
        <v>865</v>
      </c>
      <c r="C759" t="s">
        <v>1115</v>
      </c>
      <c r="D759" t="s">
        <v>1123</v>
      </c>
      <c r="E759">
        <v>48.5</v>
      </c>
      <c r="F759">
        <v>787802</v>
      </c>
      <c r="G759" t="s">
        <v>1128</v>
      </c>
      <c r="H759" t="s">
        <v>1133</v>
      </c>
    </row>
    <row r="760" spans="1:8" x14ac:dyDescent="0.25">
      <c r="A760" t="s">
        <v>11</v>
      </c>
      <c r="B760" t="s">
        <v>866</v>
      </c>
      <c r="C760" t="s">
        <v>1116</v>
      </c>
      <c r="D760" t="s">
        <v>1125</v>
      </c>
      <c r="E760">
        <v>82.17</v>
      </c>
      <c r="F760">
        <v>779948</v>
      </c>
      <c r="G760" t="s">
        <v>1130</v>
      </c>
      <c r="H760" t="s">
        <v>1134</v>
      </c>
    </row>
    <row r="761" spans="1:8" x14ac:dyDescent="0.25">
      <c r="A761" t="s">
        <v>100</v>
      </c>
      <c r="B761" t="s">
        <v>867</v>
      </c>
      <c r="C761" t="s">
        <v>1114</v>
      </c>
      <c r="D761" t="s">
        <v>1123</v>
      </c>
      <c r="E761">
        <v>92.39</v>
      </c>
      <c r="F761">
        <v>851564</v>
      </c>
      <c r="G761" t="s">
        <v>1128</v>
      </c>
      <c r="H761" t="s">
        <v>1134</v>
      </c>
    </row>
    <row r="762" spans="1:8" x14ac:dyDescent="0.25">
      <c r="A762" t="s">
        <v>20</v>
      </c>
      <c r="B762" t="s">
        <v>868</v>
      </c>
      <c r="C762" t="s">
        <v>1116</v>
      </c>
      <c r="D762" t="s">
        <v>1122</v>
      </c>
      <c r="E762">
        <v>76.53</v>
      </c>
      <c r="F762">
        <v>822614</v>
      </c>
      <c r="G762" t="s">
        <v>1131</v>
      </c>
      <c r="H762" t="s">
        <v>1134</v>
      </c>
    </row>
    <row r="763" spans="1:8" x14ac:dyDescent="0.25">
      <c r="A763" t="s">
        <v>27</v>
      </c>
      <c r="B763" t="s">
        <v>869</v>
      </c>
      <c r="C763" t="s">
        <v>1111</v>
      </c>
      <c r="D763" t="s">
        <v>1120</v>
      </c>
      <c r="E763">
        <v>50.72</v>
      </c>
      <c r="F763">
        <v>744542</v>
      </c>
      <c r="G763" t="s">
        <v>1129</v>
      </c>
      <c r="H763" t="s">
        <v>1133</v>
      </c>
    </row>
    <row r="764" spans="1:8" x14ac:dyDescent="0.25">
      <c r="A764" t="s">
        <v>66</v>
      </c>
      <c r="B764" t="s">
        <v>870</v>
      </c>
      <c r="C764" t="s">
        <v>1114</v>
      </c>
      <c r="D764" t="s">
        <v>1125</v>
      </c>
      <c r="E764">
        <v>48.57</v>
      </c>
      <c r="F764">
        <v>804800</v>
      </c>
      <c r="G764" t="s">
        <v>1131</v>
      </c>
      <c r="H764" t="s">
        <v>1133</v>
      </c>
    </row>
    <row r="765" spans="1:8" x14ac:dyDescent="0.25">
      <c r="A765" t="s">
        <v>69</v>
      </c>
      <c r="B765" t="s">
        <v>871</v>
      </c>
      <c r="C765" t="s">
        <v>1117</v>
      </c>
      <c r="D765" t="s">
        <v>1125</v>
      </c>
      <c r="E765">
        <v>58.76</v>
      </c>
      <c r="F765">
        <v>365051</v>
      </c>
      <c r="G765" t="s">
        <v>1129</v>
      </c>
      <c r="H765" t="s">
        <v>1133</v>
      </c>
    </row>
    <row r="766" spans="1:8" x14ac:dyDescent="0.25">
      <c r="A766" t="s">
        <v>28</v>
      </c>
      <c r="B766" t="s">
        <v>872</v>
      </c>
      <c r="C766" t="s">
        <v>1114</v>
      </c>
      <c r="D766" t="s">
        <v>1123</v>
      </c>
      <c r="E766">
        <v>64.95</v>
      </c>
      <c r="F766">
        <v>732553</v>
      </c>
      <c r="G766" t="s">
        <v>1129</v>
      </c>
      <c r="H766" t="s">
        <v>1134</v>
      </c>
    </row>
    <row r="767" spans="1:8" x14ac:dyDescent="0.25">
      <c r="A767" t="s">
        <v>15</v>
      </c>
      <c r="B767" t="s">
        <v>873</v>
      </c>
      <c r="C767" t="s">
        <v>1110</v>
      </c>
      <c r="D767" t="s">
        <v>1120</v>
      </c>
      <c r="E767">
        <v>63.64</v>
      </c>
      <c r="F767">
        <v>909452</v>
      </c>
      <c r="G767" t="s">
        <v>1129</v>
      </c>
      <c r="H767" t="s">
        <v>1133</v>
      </c>
    </row>
    <row r="768" spans="1:8" x14ac:dyDescent="0.25">
      <c r="A768" t="s">
        <v>11</v>
      </c>
      <c r="B768" t="s">
        <v>874</v>
      </c>
      <c r="C768" t="s">
        <v>1112</v>
      </c>
      <c r="D768" t="s">
        <v>1123</v>
      </c>
      <c r="E768">
        <v>50.06</v>
      </c>
      <c r="F768">
        <v>808536</v>
      </c>
      <c r="G768" t="s">
        <v>1128</v>
      </c>
      <c r="H768" t="s">
        <v>1133</v>
      </c>
    </row>
    <row r="769" spans="1:8" x14ac:dyDescent="0.25">
      <c r="A769" t="s">
        <v>57</v>
      </c>
      <c r="B769" t="s">
        <v>875</v>
      </c>
      <c r="C769" t="s">
        <v>1113</v>
      </c>
      <c r="D769" t="s">
        <v>1120</v>
      </c>
      <c r="E769">
        <v>87.32</v>
      </c>
      <c r="F769">
        <v>901635</v>
      </c>
      <c r="G769" t="s">
        <v>1130</v>
      </c>
      <c r="H769" t="s">
        <v>1133</v>
      </c>
    </row>
    <row r="770" spans="1:8" x14ac:dyDescent="0.25">
      <c r="A770" t="s">
        <v>62</v>
      </c>
      <c r="B770" t="s">
        <v>876</v>
      </c>
      <c r="C770" t="s">
        <v>1115</v>
      </c>
      <c r="D770" t="s">
        <v>1124</v>
      </c>
      <c r="E770">
        <v>37.409999999999997</v>
      </c>
      <c r="F770">
        <v>243762</v>
      </c>
      <c r="G770" t="s">
        <v>1130</v>
      </c>
      <c r="H770" t="s">
        <v>1133</v>
      </c>
    </row>
    <row r="771" spans="1:8" x14ac:dyDescent="0.25">
      <c r="A771" t="s">
        <v>27</v>
      </c>
      <c r="B771" t="s">
        <v>877</v>
      </c>
      <c r="C771" t="s">
        <v>1116</v>
      </c>
      <c r="D771" t="s">
        <v>1125</v>
      </c>
      <c r="E771">
        <v>98.22</v>
      </c>
      <c r="F771">
        <v>918947</v>
      </c>
      <c r="G771" t="s">
        <v>1131</v>
      </c>
      <c r="H771" t="s">
        <v>1133</v>
      </c>
    </row>
    <row r="772" spans="1:8" x14ac:dyDescent="0.25">
      <c r="A772" t="s">
        <v>60</v>
      </c>
      <c r="B772" t="s">
        <v>878</v>
      </c>
      <c r="C772" t="s">
        <v>1109</v>
      </c>
      <c r="D772" t="s">
        <v>1121</v>
      </c>
      <c r="E772">
        <v>68.11</v>
      </c>
      <c r="F772">
        <v>895310</v>
      </c>
      <c r="G772" t="s">
        <v>1131</v>
      </c>
      <c r="H772" t="s">
        <v>1133</v>
      </c>
    </row>
    <row r="773" spans="1:8" x14ac:dyDescent="0.25">
      <c r="A773" t="s">
        <v>82</v>
      </c>
      <c r="B773" t="s">
        <v>879</v>
      </c>
      <c r="C773" t="s">
        <v>1117</v>
      </c>
      <c r="D773" t="s">
        <v>1119</v>
      </c>
      <c r="E773">
        <v>65.28</v>
      </c>
      <c r="F773">
        <v>752618</v>
      </c>
      <c r="G773" t="s">
        <v>1129</v>
      </c>
      <c r="H773" t="s">
        <v>1134</v>
      </c>
    </row>
    <row r="774" spans="1:8" x14ac:dyDescent="0.25">
      <c r="A774" t="s">
        <v>35</v>
      </c>
      <c r="B774" t="s">
        <v>880</v>
      </c>
      <c r="C774" t="s">
        <v>1108</v>
      </c>
      <c r="D774" t="s">
        <v>1123</v>
      </c>
      <c r="E774">
        <v>53.34</v>
      </c>
      <c r="F774">
        <v>888534</v>
      </c>
      <c r="G774" t="s">
        <v>1130</v>
      </c>
      <c r="H774" t="s">
        <v>1134</v>
      </c>
    </row>
    <row r="775" spans="1:8" x14ac:dyDescent="0.25">
      <c r="A775" t="s">
        <v>94</v>
      </c>
      <c r="B775" t="s">
        <v>881</v>
      </c>
      <c r="C775" t="s">
        <v>1117</v>
      </c>
      <c r="D775" t="s">
        <v>1124</v>
      </c>
      <c r="E775">
        <v>87.83</v>
      </c>
      <c r="F775">
        <v>951612</v>
      </c>
      <c r="G775" t="s">
        <v>1129</v>
      </c>
      <c r="H775" t="s">
        <v>1133</v>
      </c>
    </row>
    <row r="776" spans="1:8" x14ac:dyDescent="0.25">
      <c r="A776" t="s">
        <v>93</v>
      </c>
      <c r="B776" t="s">
        <v>882</v>
      </c>
      <c r="C776" t="s">
        <v>1117</v>
      </c>
      <c r="D776" t="s">
        <v>1126</v>
      </c>
      <c r="E776">
        <v>84.45</v>
      </c>
      <c r="F776">
        <v>575828</v>
      </c>
      <c r="G776" t="s">
        <v>1131</v>
      </c>
      <c r="H776" t="s">
        <v>1133</v>
      </c>
    </row>
    <row r="777" spans="1:8" x14ac:dyDescent="0.25">
      <c r="A777" t="s">
        <v>81</v>
      </c>
      <c r="B777" t="s">
        <v>883</v>
      </c>
      <c r="C777" t="s">
        <v>1115</v>
      </c>
      <c r="D777" t="s">
        <v>1127</v>
      </c>
      <c r="E777">
        <v>80.989999999999995</v>
      </c>
      <c r="F777">
        <v>748275</v>
      </c>
      <c r="G777" t="s">
        <v>1130</v>
      </c>
      <c r="H777" t="s">
        <v>1134</v>
      </c>
    </row>
    <row r="778" spans="1:8" x14ac:dyDescent="0.25">
      <c r="A778" t="s">
        <v>34</v>
      </c>
      <c r="B778" t="s">
        <v>884</v>
      </c>
      <c r="C778" t="s">
        <v>1110</v>
      </c>
      <c r="D778" t="s">
        <v>1118</v>
      </c>
      <c r="E778">
        <v>46.25</v>
      </c>
      <c r="F778">
        <v>864002</v>
      </c>
      <c r="G778" t="s">
        <v>1132</v>
      </c>
      <c r="H778" t="s">
        <v>1133</v>
      </c>
    </row>
    <row r="779" spans="1:8" x14ac:dyDescent="0.25">
      <c r="A779" t="s">
        <v>25</v>
      </c>
      <c r="B779" t="s">
        <v>885</v>
      </c>
      <c r="C779" t="s">
        <v>1115</v>
      </c>
      <c r="D779" t="s">
        <v>1120</v>
      </c>
      <c r="E779">
        <v>66.27</v>
      </c>
      <c r="F779">
        <v>174712</v>
      </c>
      <c r="G779" t="s">
        <v>1130</v>
      </c>
      <c r="H779" t="s">
        <v>1133</v>
      </c>
    </row>
    <row r="780" spans="1:8" x14ac:dyDescent="0.25">
      <c r="A780" t="s">
        <v>25</v>
      </c>
      <c r="B780" t="s">
        <v>886</v>
      </c>
      <c r="C780" t="s">
        <v>1117</v>
      </c>
      <c r="D780" t="s">
        <v>1123</v>
      </c>
      <c r="E780">
        <v>97.08</v>
      </c>
      <c r="F780">
        <v>607895</v>
      </c>
      <c r="G780" t="s">
        <v>1132</v>
      </c>
      <c r="H780" t="s">
        <v>1134</v>
      </c>
    </row>
    <row r="781" spans="1:8" x14ac:dyDescent="0.25">
      <c r="A781" t="s">
        <v>39</v>
      </c>
      <c r="B781" t="s">
        <v>887</v>
      </c>
      <c r="C781" t="s">
        <v>1112</v>
      </c>
      <c r="D781" t="s">
        <v>1126</v>
      </c>
      <c r="E781">
        <v>89.02</v>
      </c>
      <c r="F781">
        <v>667162</v>
      </c>
      <c r="G781" t="s">
        <v>1129</v>
      </c>
      <c r="H781" t="s">
        <v>1133</v>
      </c>
    </row>
    <row r="782" spans="1:8" x14ac:dyDescent="0.25">
      <c r="A782" t="s">
        <v>57</v>
      </c>
      <c r="B782" t="s">
        <v>888</v>
      </c>
      <c r="C782" t="s">
        <v>1116</v>
      </c>
      <c r="D782" t="s">
        <v>1127</v>
      </c>
      <c r="E782">
        <v>74.760000000000005</v>
      </c>
      <c r="F782">
        <v>703983</v>
      </c>
      <c r="G782" t="s">
        <v>1128</v>
      </c>
      <c r="H782" t="s">
        <v>1133</v>
      </c>
    </row>
    <row r="783" spans="1:8" x14ac:dyDescent="0.25">
      <c r="A783" t="s">
        <v>49</v>
      </c>
      <c r="B783" t="s">
        <v>889</v>
      </c>
      <c r="C783" t="s">
        <v>1115</v>
      </c>
      <c r="D783" t="s">
        <v>1122</v>
      </c>
      <c r="E783">
        <v>67.58</v>
      </c>
      <c r="F783">
        <v>609097</v>
      </c>
      <c r="G783" t="s">
        <v>1130</v>
      </c>
      <c r="H783" t="s">
        <v>1133</v>
      </c>
    </row>
    <row r="784" spans="1:8" x14ac:dyDescent="0.25">
      <c r="A784" t="s">
        <v>49</v>
      </c>
      <c r="B784" t="s">
        <v>890</v>
      </c>
      <c r="C784" t="s">
        <v>1115</v>
      </c>
      <c r="D784" t="s">
        <v>1126</v>
      </c>
      <c r="E784">
        <v>90.7</v>
      </c>
      <c r="F784">
        <v>265408</v>
      </c>
      <c r="G784" t="s">
        <v>1129</v>
      </c>
      <c r="H784" t="s">
        <v>1133</v>
      </c>
    </row>
    <row r="785" spans="1:8" x14ac:dyDescent="0.25">
      <c r="A785" t="s">
        <v>77</v>
      </c>
      <c r="B785" t="s">
        <v>891</v>
      </c>
      <c r="C785" t="s">
        <v>1112</v>
      </c>
      <c r="D785" t="s">
        <v>1126</v>
      </c>
      <c r="E785">
        <v>40.96</v>
      </c>
      <c r="F785">
        <v>834495</v>
      </c>
      <c r="G785" t="s">
        <v>1132</v>
      </c>
      <c r="H785" t="s">
        <v>1134</v>
      </c>
    </row>
    <row r="786" spans="1:8" x14ac:dyDescent="0.25">
      <c r="A786" t="s">
        <v>84</v>
      </c>
      <c r="B786" t="s">
        <v>892</v>
      </c>
      <c r="C786" t="s">
        <v>1108</v>
      </c>
      <c r="D786" t="s">
        <v>1126</v>
      </c>
      <c r="E786">
        <v>44.91</v>
      </c>
      <c r="F786">
        <v>363288</v>
      </c>
      <c r="G786" t="s">
        <v>1132</v>
      </c>
      <c r="H786" t="s">
        <v>1133</v>
      </c>
    </row>
    <row r="787" spans="1:8" x14ac:dyDescent="0.25">
      <c r="A787" t="s">
        <v>30</v>
      </c>
      <c r="B787" t="s">
        <v>893</v>
      </c>
      <c r="C787" t="s">
        <v>1109</v>
      </c>
      <c r="D787" t="s">
        <v>1127</v>
      </c>
      <c r="E787">
        <v>38.409999999999997</v>
      </c>
      <c r="F787">
        <v>230176</v>
      </c>
      <c r="G787" t="s">
        <v>1129</v>
      </c>
      <c r="H787" t="s">
        <v>1133</v>
      </c>
    </row>
    <row r="788" spans="1:8" x14ac:dyDescent="0.25">
      <c r="A788" t="s">
        <v>59</v>
      </c>
      <c r="B788" t="s">
        <v>894</v>
      </c>
      <c r="C788" t="s">
        <v>1116</v>
      </c>
      <c r="D788" t="s">
        <v>1121</v>
      </c>
      <c r="E788">
        <v>84.71</v>
      </c>
      <c r="F788">
        <v>255622</v>
      </c>
      <c r="G788" t="s">
        <v>1129</v>
      </c>
      <c r="H788" t="s">
        <v>1134</v>
      </c>
    </row>
    <row r="789" spans="1:8" x14ac:dyDescent="0.25">
      <c r="A789" t="s">
        <v>38</v>
      </c>
      <c r="B789" t="s">
        <v>895</v>
      </c>
      <c r="C789" t="s">
        <v>1111</v>
      </c>
      <c r="D789" t="s">
        <v>1127</v>
      </c>
      <c r="E789">
        <v>68.98</v>
      </c>
      <c r="F789">
        <v>178896</v>
      </c>
      <c r="G789" t="s">
        <v>1132</v>
      </c>
      <c r="H789" t="s">
        <v>1133</v>
      </c>
    </row>
    <row r="790" spans="1:8" x14ac:dyDescent="0.25">
      <c r="A790" t="s">
        <v>34</v>
      </c>
      <c r="B790" t="s">
        <v>896</v>
      </c>
      <c r="C790" t="s">
        <v>1115</v>
      </c>
      <c r="D790" t="s">
        <v>1119</v>
      </c>
      <c r="E790">
        <v>65.08</v>
      </c>
      <c r="F790">
        <v>148568</v>
      </c>
      <c r="G790" t="s">
        <v>1129</v>
      </c>
      <c r="H790" t="s">
        <v>1133</v>
      </c>
    </row>
    <row r="791" spans="1:8" x14ac:dyDescent="0.25">
      <c r="A791" t="s">
        <v>90</v>
      </c>
      <c r="B791" t="s">
        <v>897</v>
      </c>
      <c r="C791" t="s">
        <v>1110</v>
      </c>
      <c r="D791" t="s">
        <v>1120</v>
      </c>
      <c r="E791">
        <v>60.46</v>
      </c>
      <c r="F791">
        <v>231916</v>
      </c>
      <c r="G791" t="s">
        <v>1129</v>
      </c>
      <c r="H791" t="s">
        <v>1133</v>
      </c>
    </row>
    <row r="792" spans="1:8" x14ac:dyDescent="0.25">
      <c r="A792" t="s">
        <v>104</v>
      </c>
      <c r="B792" t="s">
        <v>898</v>
      </c>
      <c r="C792" t="s">
        <v>1112</v>
      </c>
      <c r="D792" t="s">
        <v>1126</v>
      </c>
      <c r="E792">
        <v>66.22</v>
      </c>
      <c r="F792">
        <v>312151</v>
      </c>
      <c r="G792" t="s">
        <v>1132</v>
      </c>
      <c r="H792" t="s">
        <v>1133</v>
      </c>
    </row>
    <row r="793" spans="1:8" x14ac:dyDescent="0.25">
      <c r="A793" t="s">
        <v>90</v>
      </c>
      <c r="B793" t="s">
        <v>899</v>
      </c>
      <c r="C793" t="s">
        <v>1117</v>
      </c>
      <c r="D793" t="s">
        <v>1126</v>
      </c>
      <c r="E793">
        <v>63.59</v>
      </c>
      <c r="F793">
        <v>185815</v>
      </c>
      <c r="G793" t="s">
        <v>1132</v>
      </c>
      <c r="H793" t="s">
        <v>1133</v>
      </c>
    </row>
    <row r="794" spans="1:8" x14ac:dyDescent="0.25">
      <c r="A794" t="s">
        <v>85</v>
      </c>
      <c r="B794" t="s">
        <v>900</v>
      </c>
      <c r="C794" t="s">
        <v>1111</v>
      </c>
      <c r="D794" t="s">
        <v>1118</v>
      </c>
      <c r="E794">
        <v>43.91</v>
      </c>
      <c r="F794">
        <v>408886</v>
      </c>
      <c r="G794" t="s">
        <v>1131</v>
      </c>
      <c r="H794" t="s">
        <v>1133</v>
      </c>
    </row>
    <row r="795" spans="1:8" x14ac:dyDescent="0.25">
      <c r="A795" t="s">
        <v>56</v>
      </c>
      <c r="B795" t="s">
        <v>901</v>
      </c>
      <c r="C795" t="s">
        <v>1115</v>
      </c>
      <c r="D795" t="s">
        <v>1120</v>
      </c>
      <c r="E795">
        <v>41.07</v>
      </c>
      <c r="F795">
        <v>894417</v>
      </c>
      <c r="G795" t="s">
        <v>1132</v>
      </c>
      <c r="H795" t="s">
        <v>1133</v>
      </c>
    </row>
    <row r="796" spans="1:8" x14ac:dyDescent="0.25">
      <c r="A796" t="s">
        <v>70</v>
      </c>
      <c r="B796" t="s">
        <v>902</v>
      </c>
      <c r="C796" t="s">
        <v>1111</v>
      </c>
      <c r="D796" t="s">
        <v>1119</v>
      </c>
      <c r="E796">
        <v>65.95</v>
      </c>
      <c r="F796">
        <v>676420</v>
      </c>
      <c r="G796" t="s">
        <v>1131</v>
      </c>
      <c r="H796" t="s">
        <v>1133</v>
      </c>
    </row>
    <row r="797" spans="1:8" x14ac:dyDescent="0.25">
      <c r="A797" t="s">
        <v>42</v>
      </c>
      <c r="B797" t="s">
        <v>903</v>
      </c>
      <c r="C797" t="s">
        <v>1111</v>
      </c>
      <c r="D797" t="s">
        <v>1124</v>
      </c>
      <c r="E797">
        <v>61.86</v>
      </c>
      <c r="F797">
        <v>876782</v>
      </c>
      <c r="G797" t="s">
        <v>1129</v>
      </c>
      <c r="H797" t="s">
        <v>1133</v>
      </c>
    </row>
    <row r="798" spans="1:8" x14ac:dyDescent="0.25">
      <c r="A798" t="s">
        <v>76</v>
      </c>
      <c r="B798" t="s">
        <v>904</v>
      </c>
      <c r="C798" t="s">
        <v>1111</v>
      </c>
      <c r="D798" t="s">
        <v>1120</v>
      </c>
      <c r="E798">
        <v>63.48</v>
      </c>
      <c r="F798">
        <v>683312</v>
      </c>
      <c r="G798" t="s">
        <v>1130</v>
      </c>
      <c r="H798" t="s">
        <v>1134</v>
      </c>
    </row>
    <row r="799" spans="1:8" x14ac:dyDescent="0.25">
      <c r="A799" t="s">
        <v>74</v>
      </c>
      <c r="B799" t="s">
        <v>905</v>
      </c>
      <c r="C799" t="s">
        <v>1117</v>
      </c>
      <c r="D799" t="s">
        <v>1127</v>
      </c>
      <c r="E799">
        <v>76.09</v>
      </c>
      <c r="F799">
        <v>591583</v>
      </c>
      <c r="G799" t="s">
        <v>1130</v>
      </c>
      <c r="H799" t="s">
        <v>1133</v>
      </c>
    </row>
    <row r="800" spans="1:8" x14ac:dyDescent="0.25">
      <c r="A800" t="s">
        <v>92</v>
      </c>
      <c r="B800" t="s">
        <v>906</v>
      </c>
      <c r="C800" t="s">
        <v>1110</v>
      </c>
      <c r="D800" t="s">
        <v>1125</v>
      </c>
      <c r="E800">
        <v>94.79</v>
      </c>
      <c r="F800">
        <v>652531</v>
      </c>
      <c r="G800" t="s">
        <v>1131</v>
      </c>
      <c r="H800" t="s">
        <v>1133</v>
      </c>
    </row>
    <row r="801" spans="1:8" x14ac:dyDescent="0.25">
      <c r="A801" t="s">
        <v>106</v>
      </c>
      <c r="B801" t="s">
        <v>907</v>
      </c>
      <c r="C801" t="s">
        <v>1115</v>
      </c>
      <c r="D801" t="s">
        <v>1119</v>
      </c>
      <c r="E801">
        <v>64.3</v>
      </c>
      <c r="F801">
        <v>528296</v>
      </c>
      <c r="G801" t="s">
        <v>1129</v>
      </c>
      <c r="H801" t="s">
        <v>1133</v>
      </c>
    </row>
    <row r="802" spans="1:8" x14ac:dyDescent="0.25">
      <c r="A802" t="s">
        <v>70</v>
      </c>
      <c r="B802" t="s">
        <v>908</v>
      </c>
      <c r="C802" t="s">
        <v>1112</v>
      </c>
      <c r="D802" t="s">
        <v>1119</v>
      </c>
      <c r="E802">
        <v>44.77</v>
      </c>
      <c r="F802">
        <v>276007</v>
      </c>
      <c r="G802" t="s">
        <v>1132</v>
      </c>
      <c r="H802" t="s">
        <v>1133</v>
      </c>
    </row>
    <row r="803" spans="1:8" x14ac:dyDescent="0.25">
      <c r="A803" t="s">
        <v>23</v>
      </c>
      <c r="B803" t="s">
        <v>909</v>
      </c>
      <c r="C803" t="s">
        <v>1115</v>
      </c>
      <c r="D803" t="s">
        <v>1122</v>
      </c>
      <c r="E803">
        <v>77.33</v>
      </c>
      <c r="F803">
        <v>403341</v>
      </c>
      <c r="G803" t="s">
        <v>1131</v>
      </c>
      <c r="H803" t="s">
        <v>1133</v>
      </c>
    </row>
    <row r="804" spans="1:8" x14ac:dyDescent="0.25">
      <c r="A804" t="s">
        <v>27</v>
      </c>
      <c r="B804" t="s">
        <v>910</v>
      </c>
      <c r="C804" t="s">
        <v>1108</v>
      </c>
      <c r="D804" t="s">
        <v>1124</v>
      </c>
      <c r="E804">
        <v>62.03</v>
      </c>
      <c r="F804">
        <v>111228</v>
      </c>
      <c r="G804" t="s">
        <v>1128</v>
      </c>
      <c r="H804" t="s">
        <v>1134</v>
      </c>
    </row>
    <row r="805" spans="1:8" x14ac:dyDescent="0.25">
      <c r="A805" t="s">
        <v>83</v>
      </c>
      <c r="B805" t="s">
        <v>911</v>
      </c>
      <c r="C805" t="s">
        <v>1112</v>
      </c>
      <c r="D805" t="s">
        <v>1124</v>
      </c>
      <c r="E805">
        <v>96.08</v>
      </c>
      <c r="F805">
        <v>560932</v>
      </c>
      <c r="G805" t="s">
        <v>1129</v>
      </c>
      <c r="H805" t="s">
        <v>1134</v>
      </c>
    </row>
    <row r="806" spans="1:8" x14ac:dyDescent="0.25">
      <c r="A806" t="s">
        <v>53</v>
      </c>
      <c r="B806" t="s">
        <v>912</v>
      </c>
      <c r="C806" t="s">
        <v>1114</v>
      </c>
      <c r="D806" t="s">
        <v>1118</v>
      </c>
      <c r="E806">
        <v>61.45</v>
      </c>
      <c r="F806">
        <v>707080</v>
      </c>
      <c r="G806" t="s">
        <v>1130</v>
      </c>
      <c r="H806" t="s">
        <v>1133</v>
      </c>
    </row>
    <row r="807" spans="1:8" x14ac:dyDescent="0.25">
      <c r="A807" t="s">
        <v>42</v>
      </c>
      <c r="B807" t="s">
        <v>913</v>
      </c>
      <c r="C807" t="s">
        <v>1113</v>
      </c>
      <c r="D807" t="s">
        <v>1119</v>
      </c>
      <c r="E807">
        <v>42.29</v>
      </c>
      <c r="F807">
        <v>437996</v>
      </c>
      <c r="G807" t="s">
        <v>1132</v>
      </c>
      <c r="H807" t="s">
        <v>1133</v>
      </c>
    </row>
    <row r="808" spans="1:8" x14ac:dyDescent="0.25">
      <c r="A808" t="s">
        <v>45</v>
      </c>
      <c r="B808" t="s">
        <v>914</v>
      </c>
      <c r="C808" t="s">
        <v>1113</v>
      </c>
      <c r="D808" t="s">
        <v>1126</v>
      </c>
      <c r="E808">
        <v>83.99</v>
      </c>
      <c r="F808">
        <v>740547</v>
      </c>
      <c r="G808" t="s">
        <v>1130</v>
      </c>
      <c r="H808" t="s">
        <v>1133</v>
      </c>
    </row>
    <row r="809" spans="1:8" x14ac:dyDescent="0.25">
      <c r="A809" t="s">
        <v>54</v>
      </c>
      <c r="B809" t="s">
        <v>915</v>
      </c>
      <c r="C809" t="s">
        <v>1116</v>
      </c>
      <c r="D809" t="s">
        <v>1125</v>
      </c>
      <c r="E809">
        <v>63.56</v>
      </c>
      <c r="F809">
        <v>328170</v>
      </c>
      <c r="G809" t="s">
        <v>1129</v>
      </c>
      <c r="H809" t="s">
        <v>1134</v>
      </c>
    </row>
    <row r="810" spans="1:8" x14ac:dyDescent="0.25">
      <c r="A810" t="s">
        <v>79</v>
      </c>
      <c r="B810" t="s">
        <v>916</v>
      </c>
      <c r="C810" t="s">
        <v>1113</v>
      </c>
      <c r="D810" t="s">
        <v>1121</v>
      </c>
      <c r="E810">
        <v>83.01</v>
      </c>
      <c r="F810">
        <v>257144</v>
      </c>
      <c r="G810" t="s">
        <v>1129</v>
      </c>
      <c r="H810" t="s">
        <v>1133</v>
      </c>
    </row>
    <row r="811" spans="1:8" x14ac:dyDescent="0.25">
      <c r="A811" t="s">
        <v>20</v>
      </c>
      <c r="B811" t="s">
        <v>917</v>
      </c>
      <c r="C811" t="s">
        <v>1109</v>
      </c>
      <c r="D811" t="s">
        <v>1118</v>
      </c>
      <c r="E811">
        <v>42.93</v>
      </c>
      <c r="F811">
        <v>896150</v>
      </c>
      <c r="G811" t="s">
        <v>1129</v>
      </c>
      <c r="H811" t="s">
        <v>1134</v>
      </c>
    </row>
    <row r="812" spans="1:8" x14ac:dyDescent="0.25">
      <c r="A812" t="s">
        <v>95</v>
      </c>
      <c r="B812" t="s">
        <v>918</v>
      </c>
      <c r="C812" t="s">
        <v>1116</v>
      </c>
      <c r="D812" t="s">
        <v>1124</v>
      </c>
      <c r="E812">
        <v>90.79</v>
      </c>
      <c r="F812">
        <v>312276</v>
      </c>
      <c r="G812" t="s">
        <v>1129</v>
      </c>
      <c r="H812" t="s">
        <v>1133</v>
      </c>
    </row>
    <row r="813" spans="1:8" x14ac:dyDescent="0.25">
      <c r="A813" t="s">
        <v>31</v>
      </c>
      <c r="B813" t="s">
        <v>919</v>
      </c>
      <c r="C813" t="s">
        <v>1116</v>
      </c>
      <c r="D813" t="s">
        <v>1125</v>
      </c>
      <c r="E813">
        <v>69.400000000000006</v>
      </c>
      <c r="F813">
        <v>813654</v>
      </c>
      <c r="G813" t="s">
        <v>1128</v>
      </c>
      <c r="H813" t="s">
        <v>1134</v>
      </c>
    </row>
    <row r="814" spans="1:8" x14ac:dyDescent="0.25">
      <c r="A814" t="s">
        <v>82</v>
      </c>
      <c r="B814" t="s">
        <v>920</v>
      </c>
      <c r="C814" t="s">
        <v>1117</v>
      </c>
      <c r="D814" t="s">
        <v>1125</v>
      </c>
      <c r="E814">
        <v>80.13</v>
      </c>
      <c r="F814">
        <v>638648</v>
      </c>
      <c r="G814" t="s">
        <v>1131</v>
      </c>
      <c r="H814" t="s">
        <v>1133</v>
      </c>
    </row>
    <row r="815" spans="1:8" x14ac:dyDescent="0.25">
      <c r="A815" t="s">
        <v>105</v>
      </c>
      <c r="B815" t="s">
        <v>921</v>
      </c>
      <c r="C815" t="s">
        <v>1109</v>
      </c>
      <c r="D815" t="s">
        <v>1124</v>
      </c>
      <c r="E815">
        <v>63.11</v>
      </c>
      <c r="F815">
        <v>995639</v>
      </c>
      <c r="G815" t="s">
        <v>1130</v>
      </c>
      <c r="H815" t="s">
        <v>1133</v>
      </c>
    </row>
    <row r="816" spans="1:8" x14ac:dyDescent="0.25">
      <c r="A816" t="s">
        <v>73</v>
      </c>
      <c r="B816" t="s">
        <v>922</v>
      </c>
      <c r="C816" t="s">
        <v>1113</v>
      </c>
      <c r="D816" t="s">
        <v>1126</v>
      </c>
      <c r="E816">
        <v>94.43</v>
      </c>
      <c r="F816">
        <v>140363</v>
      </c>
      <c r="G816" t="s">
        <v>1131</v>
      </c>
      <c r="H816" t="s">
        <v>1133</v>
      </c>
    </row>
    <row r="817" spans="1:8" x14ac:dyDescent="0.25">
      <c r="A817" t="s">
        <v>105</v>
      </c>
      <c r="B817" t="s">
        <v>923</v>
      </c>
      <c r="C817" t="s">
        <v>1109</v>
      </c>
      <c r="D817" t="s">
        <v>1122</v>
      </c>
      <c r="E817">
        <v>55.88</v>
      </c>
      <c r="F817">
        <v>973748</v>
      </c>
      <c r="G817" t="s">
        <v>1129</v>
      </c>
      <c r="H817" t="s">
        <v>1133</v>
      </c>
    </row>
    <row r="818" spans="1:8" x14ac:dyDescent="0.25">
      <c r="A818" t="s">
        <v>33</v>
      </c>
      <c r="B818" t="s">
        <v>924</v>
      </c>
      <c r="C818" t="s">
        <v>1113</v>
      </c>
      <c r="D818" t="s">
        <v>1124</v>
      </c>
      <c r="E818">
        <v>45.58</v>
      </c>
      <c r="F818">
        <v>306434</v>
      </c>
      <c r="G818" t="s">
        <v>1131</v>
      </c>
      <c r="H818" t="s">
        <v>1134</v>
      </c>
    </row>
    <row r="819" spans="1:8" x14ac:dyDescent="0.25">
      <c r="A819" t="s">
        <v>88</v>
      </c>
      <c r="B819" t="s">
        <v>925</v>
      </c>
      <c r="C819" t="s">
        <v>1114</v>
      </c>
      <c r="D819" t="s">
        <v>1123</v>
      </c>
      <c r="E819">
        <v>35.369999999999997</v>
      </c>
      <c r="F819">
        <v>375550</v>
      </c>
      <c r="G819" t="s">
        <v>1131</v>
      </c>
      <c r="H819" t="s">
        <v>1133</v>
      </c>
    </row>
    <row r="820" spans="1:8" x14ac:dyDescent="0.25">
      <c r="A820" t="s">
        <v>58</v>
      </c>
      <c r="B820" t="s">
        <v>926</v>
      </c>
      <c r="C820" t="s">
        <v>1112</v>
      </c>
      <c r="D820" t="s">
        <v>1122</v>
      </c>
      <c r="E820">
        <v>59.78</v>
      </c>
      <c r="F820">
        <v>683956</v>
      </c>
      <c r="G820" t="s">
        <v>1128</v>
      </c>
      <c r="H820" t="s">
        <v>1133</v>
      </c>
    </row>
    <row r="821" spans="1:8" x14ac:dyDescent="0.25">
      <c r="A821" t="s">
        <v>71</v>
      </c>
      <c r="B821" t="s">
        <v>927</v>
      </c>
      <c r="C821" t="s">
        <v>1113</v>
      </c>
      <c r="D821" t="s">
        <v>1123</v>
      </c>
      <c r="E821">
        <v>52.6</v>
      </c>
      <c r="F821">
        <v>438282</v>
      </c>
      <c r="G821" t="s">
        <v>1129</v>
      </c>
      <c r="H821" t="s">
        <v>1133</v>
      </c>
    </row>
    <row r="822" spans="1:8" x14ac:dyDescent="0.25">
      <c r="A822" t="s">
        <v>30</v>
      </c>
      <c r="B822" t="s">
        <v>928</v>
      </c>
      <c r="C822" t="s">
        <v>1108</v>
      </c>
      <c r="D822" t="s">
        <v>1120</v>
      </c>
      <c r="E822">
        <v>88.59</v>
      </c>
      <c r="F822">
        <v>969527</v>
      </c>
      <c r="G822" t="s">
        <v>1130</v>
      </c>
      <c r="H822" t="s">
        <v>1133</v>
      </c>
    </row>
    <row r="823" spans="1:8" x14ac:dyDescent="0.25">
      <c r="A823" t="s">
        <v>43</v>
      </c>
      <c r="B823" t="s">
        <v>929</v>
      </c>
      <c r="C823" t="s">
        <v>1109</v>
      </c>
      <c r="D823" t="s">
        <v>1120</v>
      </c>
      <c r="E823">
        <v>55.08</v>
      </c>
      <c r="F823">
        <v>584414</v>
      </c>
      <c r="G823" t="s">
        <v>1129</v>
      </c>
      <c r="H823" t="s">
        <v>1133</v>
      </c>
    </row>
    <row r="824" spans="1:8" x14ac:dyDescent="0.25">
      <c r="A824" t="s">
        <v>13</v>
      </c>
      <c r="B824" t="s">
        <v>930</v>
      </c>
      <c r="C824" t="s">
        <v>1111</v>
      </c>
      <c r="D824" t="s">
        <v>1118</v>
      </c>
      <c r="E824">
        <v>97.54</v>
      </c>
      <c r="F824">
        <v>436550</v>
      </c>
      <c r="G824" t="s">
        <v>1130</v>
      </c>
      <c r="H824" t="s">
        <v>1133</v>
      </c>
    </row>
    <row r="825" spans="1:8" x14ac:dyDescent="0.25">
      <c r="A825" t="s">
        <v>65</v>
      </c>
      <c r="B825" t="s">
        <v>931</v>
      </c>
      <c r="C825" t="s">
        <v>1110</v>
      </c>
      <c r="D825" t="s">
        <v>1123</v>
      </c>
      <c r="E825">
        <v>92.3</v>
      </c>
      <c r="F825">
        <v>819375</v>
      </c>
      <c r="G825" t="s">
        <v>1132</v>
      </c>
      <c r="H825" t="s">
        <v>1133</v>
      </c>
    </row>
    <row r="826" spans="1:8" x14ac:dyDescent="0.25">
      <c r="A826" t="s">
        <v>68</v>
      </c>
      <c r="B826" t="s">
        <v>932</v>
      </c>
      <c r="C826" t="s">
        <v>1112</v>
      </c>
      <c r="D826" t="s">
        <v>1126</v>
      </c>
      <c r="E826">
        <v>65.900000000000006</v>
      </c>
      <c r="F826">
        <v>286792</v>
      </c>
      <c r="G826" t="s">
        <v>1128</v>
      </c>
      <c r="H826" t="s">
        <v>1133</v>
      </c>
    </row>
    <row r="827" spans="1:8" x14ac:dyDescent="0.25">
      <c r="A827" t="s">
        <v>19</v>
      </c>
      <c r="B827" t="s">
        <v>933</v>
      </c>
      <c r="C827" t="s">
        <v>1116</v>
      </c>
      <c r="D827" t="s">
        <v>1119</v>
      </c>
      <c r="E827">
        <v>56.2</v>
      </c>
      <c r="F827">
        <v>388494</v>
      </c>
      <c r="G827" t="s">
        <v>1128</v>
      </c>
      <c r="H827" t="s">
        <v>1134</v>
      </c>
    </row>
    <row r="828" spans="1:8" x14ac:dyDescent="0.25">
      <c r="A828" t="s">
        <v>60</v>
      </c>
      <c r="B828" t="s">
        <v>934</v>
      </c>
      <c r="C828" t="s">
        <v>1115</v>
      </c>
      <c r="D828" t="s">
        <v>1126</v>
      </c>
      <c r="E828">
        <v>40.15</v>
      </c>
      <c r="F828">
        <v>176419</v>
      </c>
      <c r="G828" t="s">
        <v>1130</v>
      </c>
      <c r="H828" t="s">
        <v>1133</v>
      </c>
    </row>
    <row r="829" spans="1:8" x14ac:dyDescent="0.25">
      <c r="A829" t="s">
        <v>69</v>
      </c>
      <c r="B829" t="s">
        <v>935</v>
      </c>
      <c r="C829" t="s">
        <v>1108</v>
      </c>
      <c r="D829" t="s">
        <v>1124</v>
      </c>
      <c r="E829">
        <v>84.39</v>
      </c>
      <c r="F829">
        <v>141660</v>
      </c>
      <c r="G829" t="s">
        <v>1128</v>
      </c>
      <c r="H829" t="s">
        <v>1133</v>
      </c>
    </row>
    <row r="830" spans="1:8" x14ac:dyDescent="0.25">
      <c r="A830" t="s">
        <v>106</v>
      </c>
      <c r="B830" t="s">
        <v>936</v>
      </c>
      <c r="C830" t="s">
        <v>1112</v>
      </c>
      <c r="D830" t="s">
        <v>1127</v>
      </c>
      <c r="E830">
        <v>71.92</v>
      </c>
      <c r="F830">
        <v>985068</v>
      </c>
      <c r="G830" t="s">
        <v>1129</v>
      </c>
      <c r="H830" t="s">
        <v>1134</v>
      </c>
    </row>
    <row r="831" spans="1:8" x14ac:dyDescent="0.25">
      <c r="A831" t="s">
        <v>26</v>
      </c>
      <c r="B831" t="s">
        <v>937</v>
      </c>
      <c r="C831" t="s">
        <v>1110</v>
      </c>
      <c r="D831" t="s">
        <v>1124</v>
      </c>
      <c r="E831">
        <v>49.43</v>
      </c>
      <c r="F831">
        <v>568414</v>
      </c>
      <c r="G831" t="s">
        <v>1132</v>
      </c>
      <c r="H831" t="s">
        <v>1134</v>
      </c>
    </row>
    <row r="832" spans="1:8" x14ac:dyDescent="0.25">
      <c r="A832" t="s">
        <v>12</v>
      </c>
      <c r="B832" t="s">
        <v>938</v>
      </c>
      <c r="C832" t="s">
        <v>1110</v>
      </c>
      <c r="D832" t="s">
        <v>1122</v>
      </c>
      <c r="E832">
        <v>83.65</v>
      </c>
      <c r="F832">
        <v>423469</v>
      </c>
      <c r="G832" t="s">
        <v>1129</v>
      </c>
      <c r="H832" t="s">
        <v>1133</v>
      </c>
    </row>
    <row r="833" spans="1:8" x14ac:dyDescent="0.25">
      <c r="A833" t="s">
        <v>31</v>
      </c>
      <c r="B833" t="s">
        <v>939</v>
      </c>
      <c r="C833" t="s">
        <v>1111</v>
      </c>
      <c r="D833" t="s">
        <v>1118</v>
      </c>
      <c r="E833">
        <v>91.94</v>
      </c>
      <c r="F833">
        <v>548444</v>
      </c>
      <c r="G833" t="s">
        <v>1132</v>
      </c>
      <c r="H833" t="s">
        <v>1133</v>
      </c>
    </row>
    <row r="834" spans="1:8" x14ac:dyDescent="0.25">
      <c r="A834" t="s">
        <v>26</v>
      </c>
      <c r="B834" t="s">
        <v>940</v>
      </c>
      <c r="C834" t="s">
        <v>1113</v>
      </c>
      <c r="D834" t="s">
        <v>1122</v>
      </c>
      <c r="E834">
        <v>44.05</v>
      </c>
      <c r="F834">
        <v>589616</v>
      </c>
      <c r="G834" t="s">
        <v>1128</v>
      </c>
      <c r="H834" t="s">
        <v>1133</v>
      </c>
    </row>
    <row r="835" spans="1:8" x14ac:dyDescent="0.25">
      <c r="A835" t="s">
        <v>104</v>
      </c>
      <c r="B835" t="s">
        <v>941</v>
      </c>
      <c r="C835" t="s">
        <v>1116</v>
      </c>
      <c r="D835" t="s">
        <v>1122</v>
      </c>
      <c r="E835">
        <v>84.99</v>
      </c>
      <c r="F835">
        <v>418835</v>
      </c>
      <c r="G835" t="s">
        <v>1128</v>
      </c>
      <c r="H835" t="s">
        <v>1134</v>
      </c>
    </row>
    <row r="836" spans="1:8" x14ac:dyDescent="0.25">
      <c r="A836" t="s">
        <v>25</v>
      </c>
      <c r="B836" t="s">
        <v>942</v>
      </c>
      <c r="C836" t="s">
        <v>1114</v>
      </c>
      <c r="D836" t="s">
        <v>1127</v>
      </c>
      <c r="E836">
        <v>81.12</v>
      </c>
      <c r="F836">
        <v>767969</v>
      </c>
      <c r="G836" t="s">
        <v>1132</v>
      </c>
      <c r="H836" t="s">
        <v>1134</v>
      </c>
    </row>
    <row r="837" spans="1:8" x14ac:dyDescent="0.25">
      <c r="A837" t="s">
        <v>104</v>
      </c>
      <c r="B837" t="s">
        <v>943</v>
      </c>
      <c r="C837" t="s">
        <v>1111</v>
      </c>
      <c r="D837" t="s">
        <v>1127</v>
      </c>
      <c r="E837">
        <v>57.42</v>
      </c>
      <c r="F837">
        <v>198390</v>
      </c>
      <c r="G837" t="s">
        <v>1132</v>
      </c>
      <c r="H837" t="s">
        <v>1133</v>
      </c>
    </row>
    <row r="838" spans="1:8" x14ac:dyDescent="0.25">
      <c r="A838" t="s">
        <v>79</v>
      </c>
      <c r="B838" t="s">
        <v>944</v>
      </c>
      <c r="C838" t="s">
        <v>1115</v>
      </c>
      <c r="D838" t="s">
        <v>1120</v>
      </c>
      <c r="E838">
        <v>54.52</v>
      </c>
      <c r="F838">
        <v>912747</v>
      </c>
      <c r="G838" t="s">
        <v>1129</v>
      </c>
      <c r="H838" t="s">
        <v>1133</v>
      </c>
    </row>
    <row r="839" spans="1:8" x14ac:dyDescent="0.25">
      <c r="A839" t="s">
        <v>104</v>
      </c>
      <c r="B839" t="s">
        <v>945</v>
      </c>
      <c r="C839" t="s">
        <v>1113</v>
      </c>
      <c r="D839" t="s">
        <v>1124</v>
      </c>
      <c r="E839">
        <v>46.4</v>
      </c>
      <c r="F839">
        <v>436220</v>
      </c>
      <c r="G839" t="s">
        <v>1129</v>
      </c>
      <c r="H839" t="s">
        <v>1133</v>
      </c>
    </row>
    <row r="840" spans="1:8" x14ac:dyDescent="0.25">
      <c r="A840" t="s">
        <v>69</v>
      </c>
      <c r="B840" t="s">
        <v>946</v>
      </c>
      <c r="C840" t="s">
        <v>1115</v>
      </c>
      <c r="D840" t="s">
        <v>1126</v>
      </c>
      <c r="E840">
        <v>76.81</v>
      </c>
      <c r="F840">
        <v>247999</v>
      </c>
      <c r="G840" t="s">
        <v>1130</v>
      </c>
      <c r="H840" t="s">
        <v>1133</v>
      </c>
    </row>
    <row r="841" spans="1:8" x14ac:dyDescent="0.25">
      <c r="A841" t="s">
        <v>56</v>
      </c>
      <c r="B841" t="s">
        <v>947</v>
      </c>
      <c r="C841" t="s">
        <v>1114</v>
      </c>
      <c r="D841" t="s">
        <v>1126</v>
      </c>
      <c r="E841">
        <v>75.44</v>
      </c>
      <c r="F841">
        <v>456322</v>
      </c>
      <c r="G841" t="s">
        <v>1128</v>
      </c>
      <c r="H841" t="s">
        <v>1134</v>
      </c>
    </row>
    <row r="842" spans="1:8" x14ac:dyDescent="0.25">
      <c r="A842" t="s">
        <v>95</v>
      </c>
      <c r="B842" t="s">
        <v>948</v>
      </c>
      <c r="C842" t="s">
        <v>1111</v>
      </c>
      <c r="D842" t="s">
        <v>1118</v>
      </c>
      <c r="E842">
        <v>53.01</v>
      </c>
      <c r="F842">
        <v>666087</v>
      </c>
      <c r="G842" t="s">
        <v>1131</v>
      </c>
      <c r="H842" t="s">
        <v>1134</v>
      </c>
    </row>
    <row r="843" spans="1:8" x14ac:dyDescent="0.25">
      <c r="A843" t="s">
        <v>53</v>
      </c>
      <c r="B843" t="s">
        <v>949</v>
      </c>
      <c r="C843" t="s">
        <v>1113</v>
      </c>
      <c r="D843" t="s">
        <v>1125</v>
      </c>
      <c r="E843">
        <v>84.96</v>
      </c>
      <c r="F843">
        <v>847328</v>
      </c>
      <c r="G843" t="s">
        <v>1130</v>
      </c>
      <c r="H843" t="s">
        <v>1133</v>
      </c>
    </row>
    <row r="844" spans="1:8" x14ac:dyDescent="0.25">
      <c r="A844" t="s">
        <v>12</v>
      </c>
      <c r="B844" t="s">
        <v>950</v>
      </c>
      <c r="C844" t="s">
        <v>1113</v>
      </c>
      <c r="D844" t="s">
        <v>1122</v>
      </c>
      <c r="E844">
        <v>46.42</v>
      </c>
      <c r="F844">
        <v>799408</v>
      </c>
      <c r="G844" t="s">
        <v>1131</v>
      </c>
      <c r="H844" t="s">
        <v>1134</v>
      </c>
    </row>
    <row r="845" spans="1:8" x14ac:dyDescent="0.25">
      <c r="A845" t="s">
        <v>103</v>
      </c>
      <c r="B845" t="s">
        <v>951</v>
      </c>
      <c r="C845" t="s">
        <v>1116</v>
      </c>
      <c r="D845" t="s">
        <v>1126</v>
      </c>
      <c r="E845">
        <v>42.86</v>
      </c>
      <c r="F845">
        <v>851448</v>
      </c>
      <c r="G845" t="s">
        <v>1130</v>
      </c>
      <c r="H845" t="s">
        <v>1133</v>
      </c>
    </row>
    <row r="846" spans="1:8" x14ac:dyDescent="0.25">
      <c r="A846" t="s">
        <v>37</v>
      </c>
      <c r="B846" t="s">
        <v>952</v>
      </c>
      <c r="C846" t="s">
        <v>1110</v>
      </c>
      <c r="D846" t="s">
        <v>1120</v>
      </c>
      <c r="E846">
        <v>89.8</v>
      </c>
      <c r="F846">
        <v>328802</v>
      </c>
      <c r="G846" t="s">
        <v>1131</v>
      </c>
      <c r="H846" t="s">
        <v>1133</v>
      </c>
    </row>
    <row r="847" spans="1:8" x14ac:dyDescent="0.25">
      <c r="A847" t="s">
        <v>16</v>
      </c>
      <c r="B847" t="s">
        <v>953</v>
      </c>
      <c r="C847" t="s">
        <v>1115</v>
      </c>
      <c r="D847" t="s">
        <v>1124</v>
      </c>
      <c r="E847">
        <v>88.12</v>
      </c>
      <c r="F847">
        <v>620201</v>
      </c>
      <c r="G847" t="s">
        <v>1130</v>
      </c>
      <c r="H847" t="s">
        <v>1134</v>
      </c>
    </row>
    <row r="848" spans="1:8" x14ac:dyDescent="0.25">
      <c r="A848" t="s">
        <v>31</v>
      </c>
      <c r="B848" t="s">
        <v>954</v>
      </c>
      <c r="C848" t="s">
        <v>1116</v>
      </c>
      <c r="D848" t="s">
        <v>1122</v>
      </c>
      <c r="E848">
        <v>56.79</v>
      </c>
      <c r="F848">
        <v>295493</v>
      </c>
      <c r="G848" t="s">
        <v>1129</v>
      </c>
      <c r="H848" t="s">
        <v>1134</v>
      </c>
    </row>
    <row r="849" spans="1:8" x14ac:dyDescent="0.25">
      <c r="A849" t="s">
        <v>100</v>
      </c>
      <c r="B849" t="s">
        <v>955</v>
      </c>
      <c r="C849" t="s">
        <v>1111</v>
      </c>
      <c r="D849" t="s">
        <v>1126</v>
      </c>
      <c r="E849">
        <v>94.46</v>
      </c>
      <c r="F849">
        <v>163899</v>
      </c>
      <c r="G849" t="s">
        <v>1132</v>
      </c>
      <c r="H849" t="s">
        <v>1133</v>
      </c>
    </row>
    <row r="850" spans="1:8" x14ac:dyDescent="0.25">
      <c r="A850" t="s">
        <v>61</v>
      </c>
      <c r="B850" t="s">
        <v>956</v>
      </c>
      <c r="C850" t="s">
        <v>1112</v>
      </c>
      <c r="D850" t="s">
        <v>1127</v>
      </c>
      <c r="E850">
        <v>47.93</v>
      </c>
      <c r="F850">
        <v>981228</v>
      </c>
      <c r="G850" t="s">
        <v>1128</v>
      </c>
      <c r="H850" t="s">
        <v>1133</v>
      </c>
    </row>
    <row r="851" spans="1:8" x14ac:dyDescent="0.25">
      <c r="A851" t="s">
        <v>10</v>
      </c>
      <c r="B851" t="s">
        <v>957</v>
      </c>
      <c r="C851" t="s">
        <v>1113</v>
      </c>
      <c r="D851" t="s">
        <v>1118</v>
      </c>
      <c r="E851">
        <v>72.73</v>
      </c>
      <c r="F851">
        <v>866174</v>
      </c>
      <c r="G851" t="s">
        <v>1131</v>
      </c>
      <c r="H851" t="s">
        <v>1134</v>
      </c>
    </row>
    <row r="852" spans="1:8" x14ac:dyDescent="0.25">
      <c r="A852" t="s">
        <v>48</v>
      </c>
      <c r="B852" t="s">
        <v>958</v>
      </c>
      <c r="C852" t="s">
        <v>1113</v>
      </c>
      <c r="D852" t="s">
        <v>1127</v>
      </c>
      <c r="E852">
        <v>71.61</v>
      </c>
      <c r="F852">
        <v>463706</v>
      </c>
      <c r="G852" t="s">
        <v>1128</v>
      </c>
      <c r="H852" t="s">
        <v>1133</v>
      </c>
    </row>
    <row r="853" spans="1:8" x14ac:dyDescent="0.25">
      <c r="A853" t="s">
        <v>63</v>
      </c>
      <c r="B853" t="s">
        <v>959</v>
      </c>
      <c r="C853" t="s">
        <v>1117</v>
      </c>
      <c r="D853" t="s">
        <v>1126</v>
      </c>
      <c r="E853">
        <v>55.09</v>
      </c>
      <c r="F853">
        <v>114319</v>
      </c>
      <c r="G853" t="s">
        <v>1129</v>
      </c>
      <c r="H853" t="s">
        <v>1134</v>
      </c>
    </row>
    <row r="854" spans="1:8" x14ac:dyDescent="0.25">
      <c r="A854" t="s">
        <v>49</v>
      </c>
      <c r="B854" t="s">
        <v>960</v>
      </c>
      <c r="C854" t="s">
        <v>1117</v>
      </c>
      <c r="D854" t="s">
        <v>1127</v>
      </c>
      <c r="E854">
        <v>78.53</v>
      </c>
      <c r="F854">
        <v>569580</v>
      </c>
      <c r="G854" t="s">
        <v>1128</v>
      </c>
      <c r="H854" t="s">
        <v>1134</v>
      </c>
    </row>
    <row r="855" spans="1:8" x14ac:dyDescent="0.25">
      <c r="A855" t="s">
        <v>29</v>
      </c>
      <c r="B855" t="s">
        <v>961</v>
      </c>
      <c r="C855" t="s">
        <v>1108</v>
      </c>
      <c r="D855" t="s">
        <v>1125</v>
      </c>
      <c r="E855">
        <v>91.88</v>
      </c>
      <c r="F855">
        <v>517713</v>
      </c>
      <c r="G855" t="s">
        <v>1130</v>
      </c>
      <c r="H855" t="s">
        <v>1133</v>
      </c>
    </row>
    <row r="856" spans="1:8" x14ac:dyDescent="0.25">
      <c r="A856" t="s">
        <v>66</v>
      </c>
      <c r="B856" t="s">
        <v>962</v>
      </c>
      <c r="C856" t="s">
        <v>1114</v>
      </c>
      <c r="D856" t="s">
        <v>1119</v>
      </c>
      <c r="E856">
        <v>46.21</v>
      </c>
      <c r="F856">
        <v>254507</v>
      </c>
      <c r="G856" t="s">
        <v>1132</v>
      </c>
      <c r="H856" t="s">
        <v>1133</v>
      </c>
    </row>
    <row r="857" spans="1:8" x14ac:dyDescent="0.25">
      <c r="A857" t="s">
        <v>59</v>
      </c>
      <c r="B857" t="s">
        <v>963</v>
      </c>
      <c r="C857" t="s">
        <v>1114</v>
      </c>
      <c r="D857" t="s">
        <v>1123</v>
      </c>
      <c r="E857">
        <v>76.08</v>
      </c>
      <c r="F857">
        <v>366238</v>
      </c>
      <c r="G857" t="s">
        <v>1129</v>
      </c>
      <c r="H857" t="s">
        <v>1134</v>
      </c>
    </row>
    <row r="858" spans="1:8" x14ac:dyDescent="0.25">
      <c r="A858" t="s">
        <v>41</v>
      </c>
      <c r="B858" t="s">
        <v>964</v>
      </c>
      <c r="C858" t="s">
        <v>1115</v>
      </c>
      <c r="D858" t="s">
        <v>1126</v>
      </c>
      <c r="E858">
        <v>65.66</v>
      </c>
      <c r="F858">
        <v>796244</v>
      </c>
      <c r="G858" t="s">
        <v>1132</v>
      </c>
      <c r="H858" t="s">
        <v>1133</v>
      </c>
    </row>
    <row r="859" spans="1:8" x14ac:dyDescent="0.25">
      <c r="A859" t="s">
        <v>48</v>
      </c>
      <c r="B859" t="s">
        <v>965</v>
      </c>
      <c r="C859" t="s">
        <v>1108</v>
      </c>
      <c r="D859" t="s">
        <v>1119</v>
      </c>
      <c r="E859">
        <v>65.209999999999994</v>
      </c>
      <c r="F859">
        <v>196786</v>
      </c>
      <c r="G859" t="s">
        <v>1130</v>
      </c>
      <c r="H859" t="s">
        <v>1133</v>
      </c>
    </row>
    <row r="860" spans="1:8" x14ac:dyDescent="0.25">
      <c r="A860" t="s">
        <v>55</v>
      </c>
      <c r="B860" t="s">
        <v>966</v>
      </c>
      <c r="C860" t="s">
        <v>1109</v>
      </c>
      <c r="D860" t="s">
        <v>1122</v>
      </c>
      <c r="E860">
        <v>86.99</v>
      </c>
      <c r="F860">
        <v>900812</v>
      </c>
      <c r="G860" t="s">
        <v>1129</v>
      </c>
      <c r="H860" t="s">
        <v>1134</v>
      </c>
    </row>
    <row r="861" spans="1:8" x14ac:dyDescent="0.25">
      <c r="A861" t="s">
        <v>35</v>
      </c>
      <c r="B861" t="s">
        <v>967</v>
      </c>
      <c r="C861" t="s">
        <v>1117</v>
      </c>
      <c r="D861" t="s">
        <v>1123</v>
      </c>
      <c r="E861">
        <v>74.33</v>
      </c>
      <c r="F861">
        <v>223242</v>
      </c>
      <c r="G861" t="s">
        <v>1132</v>
      </c>
      <c r="H861" t="s">
        <v>1134</v>
      </c>
    </row>
    <row r="862" spans="1:8" x14ac:dyDescent="0.25">
      <c r="A862" t="s">
        <v>47</v>
      </c>
      <c r="B862" t="s">
        <v>968</v>
      </c>
      <c r="C862" t="s">
        <v>1111</v>
      </c>
      <c r="D862" t="s">
        <v>1126</v>
      </c>
      <c r="E862">
        <v>52.58</v>
      </c>
      <c r="F862">
        <v>747751</v>
      </c>
      <c r="G862" t="s">
        <v>1130</v>
      </c>
      <c r="H862" t="s">
        <v>1133</v>
      </c>
    </row>
    <row r="863" spans="1:8" x14ac:dyDescent="0.25">
      <c r="A863" t="s">
        <v>71</v>
      </c>
      <c r="B863" t="s">
        <v>969</v>
      </c>
      <c r="C863" t="s">
        <v>1117</v>
      </c>
      <c r="D863" t="s">
        <v>1123</v>
      </c>
      <c r="E863">
        <v>66.430000000000007</v>
      </c>
      <c r="F863">
        <v>794960</v>
      </c>
      <c r="G863" t="s">
        <v>1131</v>
      </c>
      <c r="H863" t="s">
        <v>1133</v>
      </c>
    </row>
    <row r="864" spans="1:8" x14ac:dyDescent="0.25">
      <c r="A864" t="s">
        <v>34</v>
      </c>
      <c r="B864" t="s">
        <v>970</v>
      </c>
      <c r="C864" t="s">
        <v>1108</v>
      </c>
      <c r="D864" t="s">
        <v>1125</v>
      </c>
      <c r="E864">
        <v>88</v>
      </c>
      <c r="F864">
        <v>751521</v>
      </c>
      <c r="G864" t="s">
        <v>1128</v>
      </c>
      <c r="H864" t="s">
        <v>1133</v>
      </c>
    </row>
    <row r="865" spans="1:8" x14ac:dyDescent="0.25">
      <c r="A865" t="s">
        <v>71</v>
      </c>
      <c r="B865" t="s">
        <v>971</v>
      </c>
      <c r="C865" t="s">
        <v>1110</v>
      </c>
      <c r="D865" t="s">
        <v>1125</v>
      </c>
      <c r="E865">
        <v>36.58</v>
      </c>
      <c r="F865">
        <v>952202</v>
      </c>
      <c r="G865" t="s">
        <v>1130</v>
      </c>
      <c r="H865" t="s">
        <v>1133</v>
      </c>
    </row>
    <row r="866" spans="1:8" x14ac:dyDescent="0.25">
      <c r="A866" t="s">
        <v>64</v>
      </c>
      <c r="B866" t="s">
        <v>972</v>
      </c>
      <c r="C866" t="s">
        <v>1109</v>
      </c>
      <c r="D866" t="s">
        <v>1119</v>
      </c>
      <c r="E866">
        <v>68.760000000000005</v>
      </c>
      <c r="F866">
        <v>449450</v>
      </c>
      <c r="G866" t="s">
        <v>1131</v>
      </c>
      <c r="H866" t="s">
        <v>1134</v>
      </c>
    </row>
    <row r="867" spans="1:8" x14ac:dyDescent="0.25">
      <c r="A867" t="s">
        <v>84</v>
      </c>
      <c r="B867" t="s">
        <v>973</v>
      </c>
      <c r="C867" t="s">
        <v>1110</v>
      </c>
      <c r="D867" t="s">
        <v>1119</v>
      </c>
      <c r="E867">
        <v>74.489999999999995</v>
      </c>
      <c r="F867">
        <v>681750</v>
      </c>
      <c r="G867" t="s">
        <v>1129</v>
      </c>
      <c r="H867" t="s">
        <v>1133</v>
      </c>
    </row>
    <row r="868" spans="1:8" x14ac:dyDescent="0.25">
      <c r="A868" t="s">
        <v>102</v>
      </c>
      <c r="B868" t="s">
        <v>974</v>
      </c>
      <c r="C868" t="s">
        <v>1113</v>
      </c>
      <c r="D868" t="s">
        <v>1125</v>
      </c>
      <c r="E868">
        <v>71.23</v>
      </c>
      <c r="F868">
        <v>952258</v>
      </c>
      <c r="G868" t="s">
        <v>1128</v>
      </c>
      <c r="H868" t="s">
        <v>1133</v>
      </c>
    </row>
    <row r="869" spans="1:8" x14ac:dyDescent="0.25">
      <c r="A869" t="s">
        <v>43</v>
      </c>
      <c r="B869" t="s">
        <v>975</v>
      </c>
      <c r="C869" t="s">
        <v>1112</v>
      </c>
      <c r="D869" t="s">
        <v>1127</v>
      </c>
      <c r="E869">
        <v>59.41</v>
      </c>
      <c r="F869">
        <v>558882</v>
      </c>
      <c r="G869" t="s">
        <v>1128</v>
      </c>
      <c r="H869" t="s">
        <v>1134</v>
      </c>
    </row>
    <row r="870" spans="1:8" x14ac:dyDescent="0.25">
      <c r="A870" t="s">
        <v>98</v>
      </c>
      <c r="B870" t="s">
        <v>976</v>
      </c>
      <c r="C870" t="s">
        <v>1114</v>
      </c>
      <c r="D870" t="s">
        <v>1119</v>
      </c>
      <c r="E870">
        <v>48.28</v>
      </c>
      <c r="F870">
        <v>656244</v>
      </c>
      <c r="G870" t="s">
        <v>1128</v>
      </c>
      <c r="H870" t="s">
        <v>1133</v>
      </c>
    </row>
    <row r="871" spans="1:8" x14ac:dyDescent="0.25">
      <c r="A871" t="s">
        <v>32</v>
      </c>
      <c r="B871" t="s">
        <v>977</v>
      </c>
      <c r="C871" t="s">
        <v>1115</v>
      </c>
      <c r="D871" t="s">
        <v>1123</v>
      </c>
      <c r="E871">
        <v>72.84</v>
      </c>
      <c r="F871">
        <v>874645</v>
      </c>
      <c r="G871" t="s">
        <v>1131</v>
      </c>
      <c r="H871" t="s">
        <v>1133</v>
      </c>
    </row>
    <row r="872" spans="1:8" x14ac:dyDescent="0.25">
      <c r="A872" t="s">
        <v>50</v>
      </c>
      <c r="B872" t="s">
        <v>978</v>
      </c>
      <c r="C872" t="s">
        <v>1112</v>
      </c>
      <c r="D872" t="s">
        <v>1121</v>
      </c>
      <c r="E872">
        <v>87.24</v>
      </c>
      <c r="F872">
        <v>355980</v>
      </c>
      <c r="G872" t="s">
        <v>1131</v>
      </c>
      <c r="H872" t="s">
        <v>1134</v>
      </c>
    </row>
    <row r="873" spans="1:8" x14ac:dyDescent="0.25">
      <c r="A873" t="s">
        <v>48</v>
      </c>
      <c r="B873" t="s">
        <v>979</v>
      </c>
      <c r="C873" t="s">
        <v>1110</v>
      </c>
      <c r="D873" t="s">
        <v>1118</v>
      </c>
      <c r="E873">
        <v>66.27</v>
      </c>
      <c r="F873">
        <v>357945</v>
      </c>
      <c r="G873" t="s">
        <v>1128</v>
      </c>
      <c r="H873" t="s">
        <v>1134</v>
      </c>
    </row>
    <row r="874" spans="1:8" x14ac:dyDescent="0.25">
      <c r="A874" t="s">
        <v>8</v>
      </c>
      <c r="B874" t="s">
        <v>980</v>
      </c>
      <c r="C874" t="s">
        <v>1108</v>
      </c>
      <c r="D874" t="s">
        <v>1123</v>
      </c>
      <c r="E874">
        <v>46.29</v>
      </c>
      <c r="F874">
        <v>321886</v>
      </c>
      <c r="G874" t="s">
        <v>1129</v>
      </c>
      <c r="H874" t="s">
        <v>1134</v>
      </c>
    </row>
    <row r="875" spans="1:8" x14ac:dyDescent="0.25">
      <c r="A875" t="s">
        <v>101</v>
      </c>
      <c r="B875" t="s">
        <v>981</v>
      </c>
      <c r="C875" t="s">
        <v>1116</v>
      </c>
      <c r="D875" t="s">
        <v>1122</v>
      </c>
      <c r="E875">
        <v>51.06</v>
      </c>
      <c r="F875">
        <v>242372</v>
      </c>
      <c r="G875" t="s">
        <v>1132</v>
      </c>
      <c r="H875" t="s">
        <v>1134</v>
      </c>
    </row>
    <row r="876" spans="1:8" x14ac:dyDescent="0.25">
      <c r="A876" t="s">
        <v>16</v>
      </c>
      <c r="B876" t="s">
        <v>982</v>
      </c>
      <c r="C876" t="s">
        <v>1115</v>
      </c>
      <c r="D876" t="s">
        <v>1118</v>
      </c>
      <c r="E876">
        <v>70.97</v>
      </c>
      <c r="F876">
        <v>859101</v>
      </c>
      <c r="G876" t="s">
        <v>1128</v>
      </c>
      <c r="H876" t="s">
        <v>1133</v>
      </c>
    </row>
    <row r="877" spans="1:8" x14ac:dyDescent="0.25">
      <c r="A877" t="s">
        <v>35</v>
      </c>
      <c r="B877" t="s">
        <v>983</v>
      </c>
      <c r="C877" t="s">
        <v>1109</v>
      </c>
      <c r="D877" t="s">
        <v>1119</v>
      </c>
      <c r="E877">
        <v>71.53</v>
      </c>
      <c r="F877">
        <v>955320</v>
      </c>
      <c r="G877" t="s">
        <v>1129</v>
      </c>
      <c r="H877" t="s">
        <v>1133</v>
      </c>
    </row>
    <row r="878" spans="1:8" x14ac:dyDescent="0.25">
      <c r="A878" t="s">
        <v>19</v>
      </c>
      <c r="B878" t="s">
        <v>984</v>
      </c>
      <c r="C878" t="s">
        <v>1109</v>
      </c>
      <c r="D878" t="s">
        <v>1120</v>
      </c>
      <c r="E878">
        <v>60.56</v>
      </c>
      <c r="F878">
        <v>279487</v>
      </c>
      <c r="G878" t="s">
        <v>1128</v>
      </c>
      <c r="H878" t="s">
        <v>1134</v>
      </c>
    </row>
    <row r="879" spans="1:8" x14ac:dyDescent="0.25">
      <c r="A879" t="s">
        <v>23</v>
      </c>
      <c r="B879" t="s">
        <v>985</v>
      </c>
      <c r="C879" t="s">
        <v>1110</v>
      </c>
      <c r="D879" t="s">
        <v>1124</v>
      </c>
      <c r="E879">
        <v>42.11</v>
      </c>
      <c r="F879">
        <v>363420</v>
      </c>
      <c r="G879" t="s">
        <v>1130</v>
      </c>
      <c r="H879" t="s">
        <v>1133</v>
      </c>
    </row>
    <row r="880" spans="1:8" x14ac:dyDescent="0.25">
      <c r="A880" t="s">
        <v>92</v>
      </c>
      <c r="B880" t="s">
        <v>986</v>
      </c>
      <c r="C880" t="s">
        <v>1117</v>
      </c>
      <c r="D880" t="s">
        <v>1121</v>
      </c>
      <c r="E880">
        <v>92.24</v>
      </c>
      <c r="F880">
        <v>241327</v>
      </c>
      <c r="G880" t="s">
        <v>1131</v>
      </c>
      <c r="H880" t="s">
        <v>1134</v>
      </c>
    </row>
    <row r="881" spans="1:8" x14ac:dyDescent="0.25">
      <c r="A881" t="s">
        <v>107</v>
      </c>
      <c r="B881" t="s">
        <v>987</v>
      </c>
      <c r="C881" t="s">
        <v>1110</v>
      </c>
      <c r="D881" t="s">
        <v>1125</v>
      </c>
      <c r="E881">
        <v>52.2</v>
      </c>
      <c r="F881">
        <v>921377</v>
      </c>
      <c r="G881" t="s">
        <v>1132</v>
      </c>
      <c r="H881" t="s">
        <v>1133</v>
      </c>
    </row>
    <row r="882" spans="1:8" x14ac:dyDescent="0.25">
      <c r="A882" t="s">
        <v>73</v>
      </c>
      <c r="B882" t="s">
        <v>988</v>
      </c>
      <c r="C882" t="s">
        <v>1113</v>
      </c>
      <c r="D882" t="s">
        <v>1118</v>
      </c>
      <c r="E882">
        <v>77.52</v>
      </c>
      <c r="F882">
        <v>531981</v>
      </c>
      <c r="G882" t="s">
        <v>1128</v>
      </c>
      <c r="H882" t="s">
        <v>1133</v>
      </c>
    </row>
    <row r="883" spans="1:8" x14ac:dyDescent="0.25">
      <c r="A883" t="s">
        <v>58</v>
      </c>
      <c r="B883" t="s">
        <v>989</v>
      </c>
      <c r="C883" t="s">
        <v>1113</v>
      </c>
      <c r="D883" t="s">
        <v>1125</v>
      </c>
      <c r="E883">
        <v>65.739999999999995</v>
      </c>
      <c r="F883">
        <v>171504</v>
      </c>
      <c r="G883" t="s">
        <v>1128</v>
      </c>
      <c r="H883" t="s">
        <v>1133</v>
      </c>
    </row>
    <row r="884" spans="1:8" x14ac:dyDescent="0.25">
      <c r="A884" t="s">
        <v>11</v>
      </c>
      <c r="B884" t="s">
        <v>990</v>
      </c>
      <c r="C884" t="s">
        <v>1114</v>
      </c>
      <c r="D884" t="s">
        <v>1127</v>
      </c>
      <c r="E884">
        <v>37.15</v>
      </c>
      <c r="F884">
        <v>554878</v>
      </c>
      <c r="G884" t="s">
        <v>1132</v>
      </c>
      <c r="H884" t="s">
        <v>1133</v>
      </c>
    </row>
    <row r="885" spans="1:8" x14ac:dyDescent="0.25">
      <c r="A885" t="s">
        <v>20</v>
      </c>
      <c r="B885" t="s">
        <v>991</v>
      </c>
      <c r="C885" t="s">
        <v>1109</v>
      </c>
      <c r="D885" t="s">
        <v>1118</v>
      </c>
      <c r="E885">
        <v>38.11</v>
      </c>
      <c r="F885">
        <v>157326</v>
      </c>
      <c r="G885" t="s">
        <v>1131</v>
      </c>
      <c r="H885" t="s">
        <v>1133</v>
      </c>
    </row>
    <row r="886" spans="1:8" x14ac:dyDescent="0.25">
      <c r="A886" t="s">
        <v>55</v>
      </c>
      <c r="B886" t="s">
        <v>992</v>
      </c>
      <c r="C886" t="s">
        <v>1115</v>
      </c>
      <c r="D886" t="s">
        <v>1118</v>
      </c>
      <c r="E886">
        <v>96.65</v>
      </c>
      <c r="F886">
        <v>190371</v>
      </c>
      <c r="G886" t="s">
        <v>1132</v>
      </c>
      <c r="H886" t="s">
        <v>1133</v>
      </c>
    </row>
    <row r="887" spans="1:8" x14ac:dyDescent="0.25">
      <c r="A887" t="s">
        <v>32</v>
      </c>
      <c r="B887" t="s">
        <v>993</v>
      </c>
      <c r="C887" t="s">
        <v>1114</v>
      </c>
      <c r="D887" t="s">
        <v>1126</v>
      </c>
      <c r="E887">
        <v>38.57</v>
      </c>
      <c r="F887">
        <v>199534</v>
      </c>
      <c r="G887" t="s">
        <v>1132</v>
      </c>
      <c r="H887" t="s">
        <v>1134</v>
      </c>
    </row>
    <row r="888" spans="1:8" x14ac:dyDescent="0.25">
      <c r="A888" t="s">
        <v>83</v>
      </c>
      <c r="B888" t="s">
        <v>994</v>
      </c>
      <c r="C888" t="s">
        <v>1111</v>
      </c>
      <c r="D888" t="s">
        <v>1122</v>
      </c>
      <c r="E888">
        <v>86.75</v>
      </c>
      <c r="F888">
        <v>843578</v>
      </c>
      <c r="G888" t="s">
        <v>1130</v>
      </c>
      <c r="H888" t="s">
        <v>1133</v>
      </c>
    </row>
    <row r="889" spans="1:8" x14ac:dyDescent="0.25">
      <c r="A889" t="s">
        <v>18</v>
      </c>
      <c r="B889" t="s">
        <v>995</v>
      </c>
      <c r="C889" t="s">
        <v>1114</v>
      </c>
      <c r="D889" t="s">
        <v>1121</v>
      </c>
      <c r="E889">
        <v>48.05</v>
      </c>
      <c r="F889">
        <v>382290</v>
      </c>
      <c r="G889" t="s">
        <v>1131</v>
      </c>
      <c r="H889" t="s">
        <v>1133</v>
      </c>
    </row>
    <row r="890" spans="1:8" x14ac:dyDescent="0.25">
      <c r="A890" t="s">
        <v>98</v>
      </c>
      <c r="B890" t="s">
        <v>996</v>
      </c>
      <c r="C890" t="s">
        <v>1113</v>
      </c>
      <c r="D890" t="s">
        <v>1124</v>
      </c>
      <c r="E890">
        <v>52.34</v>
      </c>
      <c r="F890">
        <v>966934</v>
      </c>
      <c r="G890" t="s">
        <v>1130</v>
      </c>
      <c r="H890" t="s">
        <v>1133</v>
      </c>
    </row>
    <row r="891" spans="1:8" x14ac:dyDescent="0.25">
      <c r="A891" t="s">
        <v>30</v>
      </c>
      <c r="B891" t="s">
        <v>997</v>
      </c>
      <c r="C891" t="s">
        <v>1115</v>
      </c>
      <c r="D891" t="s">
        <v>1118</v>
      </c>
      <c r="E891">
        <v>76.98</v>
      </c>
      <c r="F891">
        <v>863130</v>
      </c>
      <c r="G891" t="s">
        <v>1130</v>
      </c>
      <c r="H891" t="s">
        <v>1133</v>
      </c>
    </row>
    <row r="892" spans="1:8" x14ac:dyDescent="0.25">
      <c r="A892" t="s">
        <v>8</v>
      </c>
      <c r="B892" t="s">
        <v>998</v>
      </c>
      <c r="C892" t="s">
        <v>1116</v>
      </c>
      <c r="D892" t="s">
        <v>1125</v>
      </c>
      <c r="E892">
        <v>89.25</v>
      </c>
      <c r="F892">
        <v>875307</v>
      </c>
      <c r="G892" t="s">
        <v>1130</v>
      </c>
      <c r="H892" t="s">
        <v>1133</v>
      </c>
    </row>
    <row r="893" spans="1:8" x14ac:dyDescent="0.25">
      <c r="A893" t="s">
        <v>35</v>
      </c>
      <c r="B893" t="s">
        <v>999</v>
      </c>
      <c r="C893" t="s">
        <v>1116</v>
      </c>
      <c r="D893" t="s">
        <v>1125</v>
      </c>
      <c r="E893">
        <v>78.099999999999994</v>
      </c>
      <c r="F893">
        <v>558693</v>
      </c>
      <c r="G893" t="s">
        <v>1132</v>
      </c>
      <c r="H893" t="s">
        <v>1133</v>
      </c>
    </row>
    <row r="894" spans="1:8" x14ac:dyDescent="0.25">
      <c r="A894" t="s">
        <v>14</v>
      </c>
      <c r="B894" t="s">
        <v>1000</v>
      </c>
      <c r="C894" t="s">
        <v>1108</v>
      </c>
      <c r="D894" t="s">
        <v>1125</v>
      </c>
      <c r="E894">
        <v>44.4</v>
      </c>
      <c r="F894">
        <v>886004</v>
      </c>
      <c r="G894" t="s">
        <v>1132</v>
      </c>
      <c r="H894" t="s">
        <v>1134</v>
      </c>
    </row>
    <row r="895" spans="1:8" x14ac:dyDescent="0.25">
      <c r="A895" t="s">
        <v>89</v>
      </c>
      <c r="B895" t="s">
        <v>1001</v>
      </c>
      <c r="C895" t="s">
        <v>1110</v>
      </c>
      <c r="D895" t="s">
        <v>1121</v>
      </c>
      <c r="E895">
        <v>50.88</v>
      </c>
      <c r="F895">
        <v>846127</v>
      </c>
      <c r="G895" t="s">
        <v>1131</v>
      </c>
      <c r="H895" t="s">
        <v>1133</v>
      </c>
    </row>
    <row r="896" spans="1:8" x14ac:dyDescent="0.25">
      <c r="A896" t="s">
        <v>53</v>
      </c>
      <c r="B896" t="s">
        <v>1002</v>
      </c>
      <c r="C896" t="s">
        <v>1112</v>
      </c>
      <c r="D896" t="s">
        <v>1118</v>
      </c>
      <c r="E896">
        <v>60.28</v>
      </c>
      <c r="F896">
        <v>280552</v>
      </c>
      <c r="G896" t="s">
        <v>1131</v>
      </c>
      <c r="H896" t="s">
        <v>1134</v>
      </c>
    </row>
    <row r="897" spans="1:8" x14ac:dyDescent="0.25">
      <c r="A897" t="s">
        <v>53</v>
      </c>
      <c r="B897" t="s">
        <v>1003</v>
      </c>
      <c r="C897" t="s">
        <v>1113</v>
      </c>
      <c r="D897" t="s">
        <v>1119</v>
      </c>
      <c r="E897">
        <v>43.33</v>
      </c>
      <c r="F897">
        <v>399197</v>
      </c>
      <c r="G897" t="s">
        <v>1129</v>
      </c>
      <c r="H897" t="s">
        <v>1133</v>
      </c>
    </row>
    <row r="898" spans="1:8" x14ac:dyDescent="0.25">
      <c r="A898" t="s">
        <v>31</v>
      </c>
      <c r="B898" t="s">
        <v>1004</v>
      </c>
      <c r="C898" t="s">
        <v>1113</v>
      </c>
      <c r="D898" t="s">
        <v>1119</v>
      </c>
      <c r="E898">
        <v>80.25</v>
      </c>
      <c r="F898">
        <v>760646</v>
      </c>
      <c r="G898" t="s">
        <v>1130</v>
      </c>
      <c r="H898" t="s">
        <v>1133</v>
      </c>
    </row>
    <row r="899" spans="1:8" x14ac:dyDescent="0.25">
      <c r="A899" t="s">
        <v>95</v>
      </c>
      <c r="B899" t="s">
        <v>1005</v>
      </c>
      <c r="C899" t="s">
        <v>1110</v>
      </c>
      <c r="D899" t="s">
        <v>1119</v>
      </c>
      <c r="E899">
        <v>49.51</v>
      </c>
      <c r="F899">
        <v>255588</v>
      </c>
      <c r="G899" t="s">
        <v>1132</v>
      </c>
      <c r="H899" t="s">
        <v>1133</v>
      </c>
    </row>
    <row r="900" spans="1:8" x14ac:dyDescent="0.25">
      <c r="A900" t="s">
        <v>41</v>
      </c>
      <c r="B900" t="s">
        <v>1006</v>
      </c>
      <c r="C900" t="s">
        <v>1108</v>
      </c>
      <c r="D900" t="s">
        <v>1123</v>
      </c>
      <c r="E900">
        <v>65.5</v>
      </c>
      <c r="F900">
        <v>296799</v>
      </c>
      <c r="G900" t="s">
        <v>1129</v>
      </c>
      <c r="H900" t="s">
        <v>1134</v>
      </c>
    </row>
    <row r="901" spans="1:8" x14ac:dyDescent="0.25">
      <c r="A901" t="s">
        <v>88</v>
      </c>
      <c r="B901" t="s">
        <v>1007</v>
      </c>
      <c r="C901" t="s">
        <v>1116</v>
      </c>
      <c r="D901" t="s">
        <v>1125</v>
      </c>
      <c r="E901">
        <v>76.45</v>
      </c>
      <c r="F901">
        <v>896681</v>
      </c>
      <c r="G901" t="s">
        <v>1132</v>
      </c>
      <c r="H901" t="s">
        <v>1133</v>
      </c>
    </row>
    <row r="902" spans="1:8" x14ac:dyDescent="0.25">
      <c r="A902" t="s">
        <v>34</v>
      </c>
      <c r="B902" t="s">
        <v>1008</v>
      </c>
      <c r="C902" t="s">
        <v>1117</v>
      </c>
      <c r="D902" t="s">
        <v>1126</v>
      </c>
      <c r="E902">
        <v>50.69</v>
      </c>
      <c r="F902">
        <v>876407</v>
      </c>
      <c r="G902" t="s">
        <v>1129</v>
      </c>
      <c r="H902" t="s">
        <v>1133</v>
      </c>
    </row>
    <row r="903" spans="1:8" x14ac:dyDescent="0.25">
      <c r="A903" t="s">
        <v>93</v>
      </c>
      <c r="B903" t="s">
        <v>1009</v>
      </c>
      <c r="C903" t="s">
        <v>1111</v>
      </c>
      <c r="D903" t="s">
        <v>1122</v>
      </c>
      <c r="E903">
        <v>41.28</v>
      </c>
      <c r="F903">
        <v>227636</v>
      </c>
      <c r="G903" t="s">
        <v>1129</v>
      </c>
      <c r="H903" t="s">
        <v>1134</v>
      </c>
    </row>
    <row r="904" spans="1:8" x14ac:dyDescent="0.25">
      <c r="A904" t="s">
        <v>39</v>
      </c>
      <c r="B904" t="s">
        <v>1010</v>
      </c>
      <c r="C904" t="s">
        <v>1111</v>
      </c>
      <c r="D904" t="s">
        <v>1121</v>
      </c>
      <c r="E904">
        <v>89.36</v>
      </c>
      <c r="F904">
        <v>162678</v>
      </c>
      <c r="G904" t="s">
        <v>1128</v>
      </c>
      <c r="H904" t="s">
        <v>1133</v>
      </c>
    </row>
    <row r="905" spans="1:8" x14ac:dyDescent="0.25">
      <c r="A905" t="s">
        <v>41</v>
      </c>
      <c r="B905" t="s">
        <v>1011</v>
      </c>
      <c r="C905" t="s">
        <v>1108</v>
      </c>
      <c r="D905" t="s">
        <v>1126</v>
      </c>
      <c r="E905">
        <v>37.81</v>
      </c>
      <c r="F905">
        <v>999125</v>
      </c>
      <c r="G905" t="s">
        <v>1130</v>
      </c>
      <c r="H905" t="s">
        <v>1133</v>
      </c>
    </row>
    <row r="906" spans="1:8" x14ac:dyDescent="0.25">
      <c r="A906" t="s">
        <v>83</v>
      </c>
      <c r="B906" t="s">
        <v>1012</v>
      </c>
      <c r="C906" t="s">
        <v>1115</v>
      </c>
      <c r="D906" t="s">
        <v>1119</v>
      </c>
      <c r="E906">
        <v>95.2</v>
      </c>
      <c r="F906">
        <v>199163</v>
      </c>
      <c r="G906" t="s">
        <v>1132</v>
      </c>
      <c r="H906" t="s">
        <v>1133</v>
      </c>
    </row>
    <row r="907" spans="1:8" x14ac:dyDescent="0.25">
      <c r="A907" t="s">
        <v>55</v>
      </c>
      <c r="B907" t="s">
        <v>1013</v>
      </c>
      <c r="C907" t="s">
        <v>1108</v>
      </c>
      <c r="D907" t="s">
        <v>1122</v>
      </c>
      <c r="E907">
        <v>35.56</v>
      </c>
      <c r="F907">
        <v>160726</v>
      </c>
      <c r="G907" t="s">
        <v>1128</v>
      </c>
      <c r="H907" t="s">
        <v>1133</v>
      </c>
    </row>
    <row r="908" spans="1:8" x14ac:dyDescent="0.25">
      <c r="A908" t="s">
        <v>52</v>
      </c>
      <c r="B908" t="s">
        <v>1014</v>
      </c>
      <c r="C908" t="s">
        <v>1117</v>
      </c>
      <c r="D908" t="s">
        <v>1125</v>
      </c>
      <c r="E908">
        <v>71.95</v>
      </c>
      <c r="F908">
        <v>356448</v>
      </c>
      <c r="G908" t="s">
        <v>1131</v>
      </c>
      <c r="H908" t="s">
        <v>1133</v>
      </c>
    </row>
    <row r="909" spans="1:8" x14ac:dyDescent="0.25">
      <c r="A909" t="s">
        <v>30</v>
      </c>
      <c r="B909" t="s">
        <v>1015</v>
      </c>
      <c r="C909" t="s">
        <v>1108</v>
      </c>
      <c r="D909" t="s">
        <v>1121</v>
      </c>
      <c r="E909">
        <v>55.51</v>
      </c>
      <c r="F909">
        <v>201501</v>
      </c>
      <c r="G909" t="s">
        <v>1128</v>
      </c>
      <c r="H909" t="s">
        <v>1133</v>
      </c>
    </row>
    <row r="910" spans="1:8" x14ac:dyDescent="0.25">
      <c r="A910" t="s">
        <v>45</v>
      </c>
      <c r="B910" t="s">
        <v>1016</v>
      </c>
      <c r="C910" t="s">
        <v>1117</v>
      </c>
      <c r="D910" t="s">
        <v>1127</v>
      </c>
      <c r="E910">
        <v>39.479999999999997</v>
      </c>
      <c r="F910">
        <v>316505</v>
      </c>
      <c r="G910" t="s">
        <v>1130</v>
      </c>
      <c r="H910" t="s">
        <v>1134</v>
      </c>
    </row>
    <row r="911" spans="1:8" x14ac:dyDescent="0.25">
      <c r="A911" t="s">
        <v>19</v>
      </c>
      <c r="B911" t="s">
        <v>1017</v>
      </c>
      <c r="C911" t="s">
        <v>1115</v>
      </c>
      <c r="D911" t="s">
        <v>1126</v>
      </c>
      <c r="E911">
        <v>54.03</v>
      </c>
      <c r="F911">
        <v>417073</v>
      </c>
      <c r="G911" t="s">
        <v>1131</v>
      </c>
      <c r="H911" t="s">
        <v>1133</v>
      </c>
    </row>
    <row r="912" spans="1:8" x14ac:dyDescent="0.25">
      <c r="A912" t="s">
        <v>72</v>
      </c>
      <c r="B912" t="s">
        <v>1018</v>
      </c>
      <c r="C912" t="s">
        <v>1114</v>
      </c>
      <c r="D912" t="s">
        <v>1120</v>
      </c>
      <c r="E912">
        <v>82.8</v>
      </c>
      <c r="F912">
        <v>478927</v>
      </c>
      <c r="G912" t="s">
        <v>1128</v>
      </c>
      <c r="H912" t="s">
        <v>1133</v>
      </c>
    </row>
    <row r="913" spans="1:8" x14ac:dyDescent="0.25">
      <c r="A913" t="s">
        <v>104</v>
      </c>
      <c r="B913" t="s">
        <v>1019</v>
      </c>
      <c r="C913" t="s">
        <v>1109</v>
      </c>
      <c r="D913" t="s">
        <v>1120</v>
      </c>
      <c r="E913">
        <v>49.28</v>
      </c>
      <c r="F913">
        <v>919078</v>
      </c>
      <c r="G913" t="s">
        <v>1128</v>
      </c>
      <c r="H913" t="s">
        <v>1134</v>
      </c>
    </row>
    <row r="914" spans="1:8" x14ac:dyDescent="0.25">
      <c r="A914" t="s">
        <v>57</v>
      </c>
      <c r="B914" t="s">
        <v>1020</v>
      </c>
      <c r="C914" t="s">
        <v>1117</v>
      </c>
      <c r="D914" t="s">
        <v>1126</v>
      </c>
      <c r="E914">
        <v>40.869999999999997</v>
      </c>
      <c r="F914">
        <v>774252</v>
      </c>
      <c r="G914" t="s">
        <v>1131</v>
      </c>
      <c r="H914" t="s">
        <v>1134</v>
      </c>
    </row>
    <row r="915" spans="1:8" x14ac:dyDescent="0.25">
      <c r="A915" t="s">
        <v>83</v>
      </c>
      <c r="B915" t="s">
        <v>1021</v>
      </c>
      <c r="C915" t="s">
        <v>1108</v>
      </c>
      <c r="D915" t="s">
        <v>1122</v>
      </c>
      <c r="E915">
        <v>97.28</v>
      </c>
      <c r="F915">
        <v>744973</v>
      </c>
      <c r="G915" t="s">
        <v>1130</v>
      </c>
      <c r="H915" t="s">
        <v>1133</v>
      </c>
    </row>
    <row r="916" spans="1:8" x14ac:dyDescent="0.25">
      <c r="A916" t="s">
        <v>22</v>
      </c>
      <c r="B916" t="s">
        <v>1022</v>
      </c>
      <c r="C916" t="s">
        <v>1116</v>
      </c>
      <c r="D916" t="s">
        <v>1119</v>
      </c>
      <c r="E916">
        <v>94.71</v>
      </c>
      <c r="F916">
        <v>319721</v>
      </c>
      <c r="G916" t="s">
        <v>1131</v>
      </c>
      <c r="H916" t="s">
        <v>1133</v>
      </c>
    </row>
    <row r="917" spans="1:8" x14ac:dyDescent="0.25">
      <c r="A917" t="s">
        <v>17</v>
      </c>
      <c r="B917" t="s">
        <v>1023</v>
      </c>
      <c r="C917" t="s">
        <v>1115</v>
      </c>
      <c r="D917" t="s">
        <v>1120</v>
      </c>
      <c r="E917">
        <v>76.69</v>
      </c>
      <c r="F917">
        <v>274517</v>
      </c>
      <c r="G917" t="s">
        <v>1128</v>
      </c>
      <c r="H917" t="s">
        <v>1133</v>
      </c>
    </row>
    <row r="918" spans="1:8" x14ac:dyDescent="0.25">
      <c r="A918" t="s">
        <v>69</v>
      </c>
      <c r="B918" t="s">
        <v>1024</v>
      </c>
      <c r="C918" t="s">
        <v>1114</v>
      </c>
      <c r="D918" t="s">
        <v>1127</v>
      </c>
      <c r="E918">
        <v>95.56</v>
      </c>
      <c r="F918">
        <v>233958</v>
      </c>
      <c r="G918" t="s">
        <v>1130</v>
      </c>
      <c r="H918" t="s">
        <v>1134</v>
      </c>
    </row>
    <row r="919" spans="1:8" x14ac:dyDescent="0.25">
      <c r="A919" t="s">
        <v>91</v>
      </c>
      <c r="B919" t="s">
        <v>1025</v>
      </c>
      <c r="C919" t="s">
        <v>1111</v>
      </c>
      <c r="D919" t="s">
        <v>1123</v>
      </c>
      <c r="E919">
        <v>78.75</v>
      </c>
      <c r="F919">
        <v>670478</v>
      </c>
      <c r="G919" t="s">
        <v>1128</v>
      </c>
      <c r="H919" t="s">
        <v>1133</v>
      </c>
    </row>
    <row r="920" spans="1:8" x14ac:dyDescent="0.25">
      <c r="A920" t="s">
        <v>99</v>
      </c>
      <c r="B920" t="s">
        <v>1026</v>
      </c>
      <c r="C920" t="s">
        <v>1110</v>
      </c>
      <c r="D920" t="s">
        <v>1118</v>
      </c>
      <c r="E920">
        <v>63.21</v>
      </c>
      <c r="F920">
        <v>840105</v>
      </c>
      <c r="G920" t="s">
        <v>1129</v>
      </c>
      <c r="H920" t="s">
        <v>1133</v>
      </c>
    </row>
    <row r="921" spans="1:8" x14ac:dyDescent="0.25">
      <c r="A921" t="s">
        <v>101</v>
      </c>
      <c r="B921" t="s">
        <v>1027</v>
      </c>
      <c r="C921" t="s">
        <v>1116</v>
      </c>
      <c r="D921" t="s">
        <v>1118</v>
      </c>
      <c r="E921">
        <v>97.23</v>
      </c>
      <c r="F921">
        <v>123599</v>
      </c>
      <c r="G921" t="s">
        <v>1129</v>
      </c>
      <c r="H921" t="s">
        <v>1133</v>
      </c>
    </row>
    <row r="922" spans="1:8" x14ac:dyDescent="0.25">
      <c r="A922" t="s">
        <v>87</v>
      </c>
      <c r="B922" t="s">
        <v>1028</v>
      </c>
      <c r="C922" t="s">
        <v>1116</v>
      </c>
      <c r="D922" t="s">
        <v>1119</v>
      </c>
      <c r="E922">
        <v>44.78</v>
      </c>
      <c r="F922">
        <v>579390</v>
      </c>
      <c r="G922" t="s">
        <v>1132</v>
      </c>
      <c r="H922" t="s">
        <v>1133</v>
      </c>
    </row>
    <row r="923" spans="1:8" x14ac:dyDescent="0.25">
      <c r="A923" t="s">
        <v>64</v>
      </c>
      <c r="B923" t="s">
        <v>1029</v>
      </c>
      <c r="C923" t="s">
        <v>1114</v>
      </c>
      <c r="D923" t="s">
        <v>1119</v>
      </c>
      <c r="E923">
        <v>92.63</v>
      </c>
      <c r="F923">
        <v>170965</v>
      </c>
      <c r="G923" t="s">
        <v>1130</v>
      </c>
      <c r="H923" t="s">
        <v>1133</v>
      </c>
    </row>
    <row r="924" spans="1:8" x14ac:dyDescent="0.25">
      <c r="A924" t="s">
        <v>71</v>
      </c>
      <c r="B924" t="s">
        <v>1030</v>
      </c>
      <c r="C924" t="s">
        <v>1110</v>
      </c>
      <c r="D924" t="s">
        <v>1125</v>
      </c>
      <c r="E924">
        <v>91.62</v>
      </c>
      <c r="F924">
        <v>520100</v>
      </c>
      <c r="G924" t="s">
        <v>1130</v>
      </c>
      <c r="H924" t="s">
        <v>1133</v>
      </c>
    </row>
    <row r="925" spans="1:8" x14ac:dyDescent="0.25">
      <c r="A925" t="s">
        <v>106</v>
      </c>
      <c r="B925" t="s">
        <v>1031</v>
      </c>
      <c r="C925" t="s">
        <v>1111</v>
      </c>
      <c r="D925" t="s">
        <v>1122</v>
      </c>
      <c r="E925">
        <v>96.07</v>
      </c>
      <c r="F925">
        <v>669979</v>
      </c>
      <c r="G925" t="s">
        <v>1132</v>
      </c>
      <c r="H925" t="s">
        <v>1133</v>
      </c>
    </row>
    <row r="926" spans="1:8" x14ac:dyDescent="0.25">
      <c r="A926" t="s">
        <v>101</v>
      </c>
      <c r="B926" t="s">
        <v>1032</v>
      </c>
      <c r="C926" t="s">
        <v>1110</v>
      </c>
      <c r="D926" t="s">
        <v>1125</v>
      </c>
      <c r="E926">
        <v>91.54</v>
      </c>
      <c r="F926">
        <v>472670</v>
      </c>
      <c r="G926" t="s">
        <v>1128</v>
      </c>
      <c r="H926" t="s">
        <v>1133</v>
      </c>
    </row>
    <row r="927" spans="1:8" x14ac:dyDescent="0.25">
      <c r="A927" t="s">
        <v>62</v>
      </c>
      <c r="B927" t="s">
        <v>1033</v>
      </c>
      <c r="C927" t="s">
        <v>1111</v>
      </c>
      <c r="D927" t="s">
        <v>1119</v>
      </c>
      <c r="E927">
        <v>62.31</v>
      </c>
      <c r="F927">
        <v>742485</v>
      </c>
      <c r="G927" t="s">
        <v>1131</v>
      </c>
      <c r="H927" t="s">
        <v>1133</v>
      </c>
    </row>
    <row r="928" spans="1:8" x14ac:dyDescent="0.25">
      <c r="A928" t="s">
        <v>17</v>
      </c>
      <c r="B928" t="s">
        <v>1034</v>
      </c>
      <c r="C928" t="s">
        <v>1112</v>
      </c>
      <c r="D928" t="s">
        <v>1122</v>
      </c>
      <c r="E928">
        <v>40.590000000000003</v>
      </c>
      <c r="F928">
        <v>289954</v>
      </c>
      <c r="G928" t="s">
        <v>1128</v>
      </c>
      <c r="H928" t="s">
        <v>1134</v>
      </c>
    </row>
    <row r="929" spans="1:8" x14ac:dyDescent="0.25">
      <c r="A929" t="s">
        <v>28</v>
      </c>
      <c r="B929" t="s">
        <v>1035</v>
      </c>
      <c r="C929" t="s">
        <v>1110</v>
      </c>
      <c r="D929" t="s">
        <v>1127</v>
      </c>
      <c r="E929">
        <v>87.22</v>
      </c>
      <c r="F929">
        <v>576983</v>
      </c>
      <c r="G929" t="s">
        <v>1129</v>
      </c>
      <c r="H929" t="s">
        <v>1133</v>
      </c>
    </row>
    <row r="930" spans="1:8" x14ac:dyDescent="0.25">
      <c r="A930" t="s">
        <v>33</v>
      </c>
      <c r="B930" t="s">
        <v>1036</v>
      </c>
      <c r="C930" t="s">
        <v>1117</v>
      </c>
      <c r="D930" t="s">
        <v>1118</v>
      </c>
      <c r="E930">
        <v>58.43</v>
      </c>
      <c r="F930">
        <v>638557</v>
      </c>
      <c r="G930" t="s">
        <v>1128</v>
      </c>
      <c r="H930" t="s">
        <v>1134</v>
      </c>
    </row>
    <row r="931" spans="1:8" x14ac:dyDescent="0.25">
      <c r="A931" t="s">
        <v>89</v>
      </c>
      <c r="B931" t="s">
        <v>1037</v>
      </c>
      <c r="C931" t="s">
        <v>1112</v>
      </c>
      <c r="D931" t="s">
        <v>1123</v>
      </c>
      <c r="E931">
        <v>59.24</v>
      </c>
      <c r="F931">
        <v>663350</v>
      </c>
      <c r="G931" t="s">
        <v>1131</v>
      </c>
      <c r="H931" t="s">
        <v>1134</v>
      </c>
    </row>
    <row r="932" spans="1:8" x14ac:dyDescent="0.25">
      <c r="A932" t="s">
        <v>90</v>
      </c>
      <c r="B932" t="s">
        <v>1038</v>
      </c>
      <c r="C932" t="s">
        <v>1112</v>
      </c>
      <c r="D932" t="s">
        <v>1124</v>
      </c>
      <c r="E932">
        <v>82.94</v>
      </c>
      <c r="F932">
        <v>982713</v>
      </c>
      <c r="G932" t="s">
        <v>1132</v>
      </c>
      <c r="H932" t="s">
        <v>1133</v>
      </c>
    </row>
    <row r="933" spans="1:8" x14ac:dyDescent="0.25">
      <c r="A933" t="s">
        <v>43</v>
      </c>
      <c r="B933" t="s">
        <v>1039</v>
      </c>
      <c r="C933" t="s">
        <v>1108</v>
      </c>
      <c r="D933" t="s">
        <v>1120</v>
      </c>
      <c r="E933">
        <v>68.31</v>
      </c>
      <c r="F933">
        <v>935316</v>
      </c>
      <c r="G933" t="s">
        <v>1132</v>
      </c>
      <c r="H933" t="s">
        <v>1133</v>
      </c>
    </row>
    <row r="934" spans="1:8" x14ac:dyDescent="0.25">
      <c r="A934" t="s">
        <v>39</v>
      </c>
      <c r="B934" t="s">
        <v>1040</v>
      </c>
      <c r="C934" t="s">
        <v>1108</v>
      </c>
      <c r="D934" t="s">
        <v>1127</v>
      </c>
      <c r="E934">
        <v>77.36</v>
      </c>
      <c r="F934">
        <v>715476</v>
      </c>
      <c r="G934" t="s">
        <v>1128</v>
      </c>
      <c r="H934" t="s">
        <v>1133</v>
      </c>
    </row>
    <row r="935" spans="1:8" x14ac:dyDescent="0.25">
      <c r="A935" t="s">
        <v>10</v>
      </c>
      <c r="B935" t="s">
        <v>1041</v>
      </c>
      <c r="C935" t="s">
        <v>1114</v>
      </c>
      <c r="D935" t="s">
        <v>1124</v>
      </c>
      <c r="E935">
        <v>96.6</v>
      </c>
      <c r="F935">
        <v>387724</v>
      </c>
      <c r="G935" t="s">
        <v>1131</v>
      </c>
      <c r="H935" t="s">
        <v>1134</v>
      </c>
    </row>
    <row r="936" spans="1:8" x14ac:dyDescent="0.25">
      <c r="A936" t="s">
        <v>63</v>
      </c>
      <c r="B936" t="s">
        <v>1042</v>
      </c>
      <c r="C936" t="s">
        <v>1116</v>
      </c>
      <c r="D936" t="s">
        <v>1123</v>
      </c>
      <c r="E936">
        <v>97.53</v>
      </c>
      <c r="F936">
        <v>188883</v>
      </c>
      <c r="G936" t="s">
        <v>1131</v>
      </c>
      <c r="H936" t="s">
        <v>1133</v>
      </c>
    </row>
    <row r="937" spans="1:8" x14ac:dyDescent="0.25">
      <c r="A937" t="s">
        <v>102</v>
      </c>
      <c r="B937" t="s">
        <v>1043</v>
      </c>
      <c r="C937" t="s">
        <v>1115</v>
      </c>
      <c r="D937" t="s">
        <v>1126</v>
      </c>
      <c r="E937">
        <v>59.88</v>
      </c>
      <c r="F937">
        <v>937322</v>
      </c>
      <c r="G937" t="s">
        <v>1129</v>
      </c>
      <c r="H937" t="s">
        <v>1133</v>
      </c>
    </row>
    <row r="938" spans="1:8" x14ac:dyDescent="0.25">
      <c r="A938" t="s">
        <v>29</v>
      </c>
      <c r="B938" t="s">
        <v>1044</v>
      </c>
      <c r="C938" t="s">
        <v>1108</v>
      </c>
      <c r="D938" t="s">
        <v>1120</v>
      </c>
      <c r="E938">
        <v>78.739999999999995</v>
      </c>
      <c r="F938">
        <v>815077</v>
      </c>
      <c r="G938" t="s">
        <v>1131</v>
      </c>
      <c r="H938" t="s">
        <v>1133</v>
      </c>
    </row>
    <row r="939" spans="1:8" x14ac:dyDescent="0.25">
      <c r="A939" t="s">
        <v>89</v>
      </c>
      <c r="B939" t="s">
        <v>1045</v>
      </c>
      <c r="C939" t="s">
        <v>1109</v>
      </c>
      <c r="D939" t="s">
        <v>1126</v>
      </c>
      <c r="E939">
        <v>61.79</v>
      </c>
      <c r="F939">
        <v>147070</v>
      </c>
      <c r="G939" t="s">
        <v>1128</v>
      </c>
      <c r="H939" t="s">
        <v>1133</v>
      </c>
    </row>
    <row r="940" spans="1:8" x14ac:dyDescent="0.25">
      <c r="A940" t="s">
        <v>21</v>
      </c>
      <c r="B940" t="s">
        <v>1046</v>
      </c>
      <c r="C940" t="s">
        <v>1114</v>
      </c>
      <c r="D940" t="s">
        <v>1124</v>
      </c>
      <c r="E940">
        <v>47.42</v>
      </c>
      <c r="F940">
        <v>972815</v>
      </c>
      <c r="G940" t="s">
        <v>1132</v>
      </c>
      <c r="H940" t="s">
        <v>1133</v>
      </c>
    </row>
    <row r="941" spans="1:8" x14ac:dyDescent="0.25">
      <c r="A941" t="s">
        <v>92</v>
      </c>
      <c r="B941" t="s">
        <v>1047</v>
      </c>
      <c r="C941" t="s">
        <v>1109</v>
      </c>
      <c r="D941" t="s">
        <v>1118</v>
      </c>
      <c r="E941">
        <v>50.81</v>
      </c>
      <c r="F941">
        <v>996575</v>
      </c>
      <c r="G941" t="s">
        <v>1129</v>
      </c>
      <c r="H941" t="s">
        <v>1133</v>
      </c>
    </row>
    <row r="942" spans="1:8" x14ac:dyDescent="0.25">
      <c r="A942" t="s">
        <v>103</v>
      </c>
      <c r="B942" t="s">
        <v>1048</v>
      </c>
      <c r="C942" t="s">
        <v>1114</v>
      </c>
      <c r="D942" t="s">
        <v>1125</v>
      </c>
      <c r="E942">
        <v>38.770000000000003</v>
      </c>
      <c r="F942">
        <v>156864</v>
      </c>
      <c r="G942" t="s">
        <v>1129</v>
      </c>
      <c r="H942" t="s">
        <v>1134</v>
      </c>
    </row>
    <row r="943" spans="1:8" x14ac:dyDescent="0.25">
      <c r="A943" t="s">
        <v>95</v>
      </c>
      <c r="B943" t="s">
        <v>1049</v>
      </c>
      <c r="C943" t="s">
        <v>1112</v>
      </c>
      <c r="D943" t="s">
        <v>1124</v>
      </c>
      <c r="E943">
        <v>88.84</v>
      </c>
      <c r="F943">
        <v>616643</v>
      </c>
      <c r="G943" t="s">
        <v>1129</v>
      </c>
      <c r="H943" t="s">
        <v>1133</v>
      </c>
    </row>
    <row r="944" spans="1:8" x14ac:dyDescent="0.25">
      <c r="A944" t="s">
        <v>44</v>
      </c>
      <c r="B944" t="s">
        <v>1050</v>
      </c>
      <c r="C944" t="s">
        <v>1117</v>
      </c>
      <c r="D944" t="s">
        <v>1119</v>
      </c>
      <c r="E944">
        <v>90.82</v>
      </c>
      <c r="F944">
        <v>498427</v>
      </c>
      <c r="G944" t="s">
        <v>1131</v>
      </c>
      <c r="H944" t="s">
        <v>1133</v>
      </c>
    </row>
    <row r="945" spans="1:8" x14ac:dyDescent="0.25">
      <c r="A945" t="s">
        <v>40</v>
      </c>
      <c r="B945" t="s">
        <v>1051</v>
      </c>
      <c r="C945" t="s">
        <v>1109</v>
      </c>
      <c r="D945" t="s">
        <v>1119</v>
      </c>
      <c r="E945">
        <v>76.11</v>
      </c>
      <c r="F945">
        <v>691217</v>
      </c>
      <c r="G945" t="s">
        <v>1132</v>
      </c>
      <c r="H945" t="s">
        <v>1133</v>
      </c>
    </row>
    <row r="946" spans="1:8" x14ac:dyDescent="0.25">
      <c r="A946" t="s">
        <v>40</v>
      </c>
      <c r="B946" t="s">
        <v>1052</v>
      </c>
      <c r="C946" t="s">
        <v>1115</v>
      </c>
      <c r="D946" t="s">
        <v>1127</v>
      </c>
      <c r="E946">
        <v>40.549999999999997</v>
      </c>
      <c r="F946">
        <v>902056</v>
      </c>
      <c r="G946" t="s">
        <v>1129</v>
      </c>
      <c r="H946" t="s">
        <v>1133</v>
      </c>
    </row>
    <row r="947" spans="1:8" x14ac:dyDescent="0.25">
      <c r="A947" t="s">
        <v>48</v>
      </c>
      <c r="B947" t="s">
        <v>1053</v>
      </c>
      <c r="C947" t="s">
        <v>1116</v>
      </c>
      <c r="D947" t="s">
        <v>1121</v>
      </c>
      <c r="E947">
        <v>58.7</v>
      </c>
      <c r="F947">
        <v>401635</v>
      </c>
      <c r="G947" t="s">
        <v>1128</v>
      </c>
      <c r="H947" t="s">
        <v>1134</v>
      </c>
    </row>
    <row r="948" spans="1:8" x14ac:dyDescent="0.25">
      <c r="A948" t="s">
        <v>71</v>
      </c>
      <c r="B948" t="s">
        <v>1054</v>
      </c>
      <c r="C948" t="s">
        <v>1108</v>
      </c>
      <c r="D948" t="s">
        <v>1127</v>
      </c>
      <c r="E948">
        <v>58.19</v>
      </c>
      <c r="F948">
        <v>254603</v>
      </c>
      <c r="G948" t="s">
        <v>1132</v>
      </c>
      <c r="H948" t="s">
        <v>1134</v>
      </c>
    </row>
    <row r="949" spans="1:8" x14ac:dyDescent="0.25">
      <c r="A949" t="s">
        <v>24</v>
      </c>
      <c r="B949" t="s">
        <v>1055</v>
      </c>
      <c r="C949" t="s">
        <v>1115</v>
      </c>
      <c r="D949" t="s">
        <v>1122</v>
      </c>
      <c r="E949">
        <v>89.83</v>
      </c>
      <c r="F949">
        <v>876260</v>
      </c>
      <c r="G949" t="s">
        <v>1132</v>
      </c>
      <c r="H949" t="s">
        <v>1133</v>
      </c>
    </row>
    <row r="950" spans="1:8" x14ac:dyDescent="0.25">
      <c r="A950" t="s">
        <v>94</v>
      </c>
      <c r="B950" t="s">
        <v>1056</v>
      </c>
      <c r="C950" t="s">
        <v>1114</v>
      </c>
      <c r="D950" t="s">
        <v>1118</v>
      </c>
      <c r="E950">
        <v>92.91</v>
      </c>
      <c r="F950">
        <v>980663</v>
      </c>
      <c r="G950" t="s">
        <v>1130</v>
      </c>
      <c r="H950" t="s">
        <v>1133</v>
      </c>
    </row>
    <row r="951" spans="1:8" x14ac:dyDescent="0.25">
      <c r="A951" t="s">
        <v>29</v>
      </c>
      <c r="B951" t="s">
        <v>1057</v>
      </c>
      <c r="C951" t="s">
        <v>1116</v>
      </c>
      <c r="D951" t="s">
        <v>1119</v>
      </c>
      <c r="E951">
        <v>43.31</v>
      </c>
      <c r="F951">
        <v>863570</v>
      </c>
      <c r="G951" t="s">
        <v>1132</v>
      </c>
      <c r="H951" t="s">
        <v>1133</v>
      </c>
    </row>
    <row r="952" spans="1:8" x14ac:dyDescent="0.25">
      <c r="A952" t="s">
        <v>82</v>
      </c>
      <c r="B952" t="s">
        <v>1058</v>
      </c>
      <c r="C952" t="s">
        <v>1112</v>
      </c>
      <c r="D952" t="s">
        <v>1127</v>
      </c>
      <c r="E952">
        <v>71.650000000000006</v>
      </c>
      <c r="F952">
        <v>345281</v>
      </c>
      <c r="G952" t="s">
        <v>1132</v>
      </c>
      <c r="H952" t="s">
        <v>1133</v>
      </c>
    </row>
    <row r="953" spans="1:8" x14ac:dyDescent="0.25">
      <c r="A953" t="s">
        <v>23</v>
      </c>
      <c r="B953" t="s">
        <v>1059</v>
      </c>
      <c r="C953" t="s">
        <v>1115</v>
      </c>
      <c r="D953" t="s">
        <v>1124</v>
      </c>
      <c r="E953">
        <v>59.64</v>
      </c>
      <c r="F953">
        <v>727743</v>
      </c>
      <c r="G953" t="s">
        <v>1129</v>
      </c>
      <c r="H953" t="s">
        <v>1134</v>
      </c>
    </row>
    <row r="954" spans="1:8" x14ac:dyDescent="0.25">
      <c r="A954" t="s">
        <v>59</v>
      </c>
      <c r="B954" t="s">
        <v>1060</v>
      </c>
      <c r="C954" t="s">
        <v>1108</v>
      </c>
      <c r="D954" t="s">
        <v>1121</v>
      </c>
      <c r="E954">
        <v>48.62</v>
      </c>
      <c r="F954">
        <v>462702</v>
      </c>
      <c r="G954" t="s">
        <v>1128</v>
      </c>
      <c r="H954" t="s">
        <v>1134</v>
      </c>
    </row>
    <row r="955" spans="1:8" x14ac:dyDescent="0.25">
      <c r="A955" t="s">
        <v>12</v>
      </c>
      <c r="B955" t="s">
        <v>1061</v>
      </c>
      <c r="C955" t="s">
        <v>1108</v>
      </c>
      <c r="D955" t="s">
        <v>1121</v>
      </c>
      <c r="E955">
        <v>45.51</v>
      </c>
      <c r="F955">
        <v>690183</v>
      </c>
      <c r="G955" t="s">
        <v>1132</v>
      </c>
      <c r="H955" t="s">
        <v>1133</v>
      </c>
    </row>
    <row r="956" spans="1:8" x14ac:dyDescent="0.25">
      <c r="A956" t="s">
        <v>76</v>
      </c>
      <c r="B956" t="s">
        <v>1062</v>
      </c>
      <c r="C956" t="s">
        <v>1117</v>
      </c>
      <c r="D956" t="s">
        <v>1121</v>
      </c>
      <c r="E956">
        <v>74.760000000000005</v>
      </c>
      <c r="F956">
        <v>595930</v>
      </c>
      <c r="G956" t="s">
        <v>1131</v>
      </c>
      <c r="H956" t="s">
        <v>1134</v>
      </c>
    </row>
    <row r="957" spans="1:8" x14ac:dyDescent="0.25">
      <c r="A957" t="s">
        <v>37</v>
      </c>
      <c r="B957" t="s">
        <v>1063</v>
      </c>
      <c r="C957" t="s">
        <v>1115</v>
      </c>
      <c r="D957" t="s">
        <v>1124</v>
      </c>
      <c r="E957">
        <v>44.08</v>
      </c>
      <c r="F957">
        <v>790849</v>
      </c>
      <c r="G957" t="s">
        <v>1131</v>
      </c>
      <c r="H957" t="s">
        <v>1133</v>
      </c>
    </row>
    <row r="958" spans="1:8" x14ac:dyDescent="0.25">
      <c r="A958" t="s">
        <v>44</v>
      </c>
      <c r="B958" t="s">
        <v>1064</v>
      </c>
      <c r="C958" t="s">
        <v>1109</v>
      </c>
      <c r="D958" t="s">
        <v>1124</v>
      </c>
      <c r="E958">
        <v>42.29</v>
      </c>
      <c r="F958">
        <v>173594</v>
      </c>
      <c r="G958" t="s">
        <v>1129</v>
      </c>
      <c r="H958" t="s">
        <v>1133</v>
      </c>
    </row>
    <row r="959" spans="1:8" x14ac:dyDescent="0.25">
      <c r="A959" t="s">
        <v>94</v>
      </c>
      <c r="B959" t="s">
        <v>1065</v>
      </c>
      <c r="C959" t="s">
        <v>1112</v>
      </c>
      <c r="D959" t="s">
        <v>1121</v>
      </c>
      <c r="E959">
        <v>81.42</v>
      </c>
      <c r="F959">
        <v>671538</v>
      </c>
      <c r="G959" t="s">
        <v>1129</v>
      </c>
      <c r="H959" t="s">
        <v>1133</v>
      </c>
    </row>
    <row r="960" spans="1:8" x14ac:dyDescent="0.25">
      <c r="A960" t="s">
        <v>37</v>
      </c>
      <c r="B960" t="s">
        <v>1066</v>
      </c>
      <c r="C960" t="s">
        <v>1116</v>
      </c>
      <c r="D960" t="s">
        <v>1121</v>
      </c>
      <c r="E960">
        <v>54.62</v>
      </c>
      <c r="F960">
        <v>589673</v>
      </c>
      <c r="G960" t="s">
        <v>1128</v>
      </c>
      <c r="H960" t="s">
        <v>1133</v>
      </c>
    </row>
    <row r="961" spans="1:8" x14ac:dyDescent="0.25">
      <c r="A961" t="s">
        <v>30</v>
      </c>
      <c r="B961" t="s">
        <v>1067</v>
      </c>
      <c r="C961" t="s">
        <v>1109</v>
      </c>
      <c r="D961" t="s">
        <v>1118</v>
      </c>
      <c r="E961">
        <v>81.41</v>
      </c>
      <c r="F961">
        <v>284052</v>
      </c>
      <c r="G961" t="s">
        <v>1132</v>
      </c>
      <c r="H961" t="s">
        <v>1134</v>
      </c>
    </row>
    <row r="962" spans="1:8" x14ac:dyDescent="0.25">
      <c r="A962" t="s">
        <v>30</v>
      </c>
      <c r="B962" t="s">
        <v>1068</v>
      </c>
      <c r="C962" t="s">
        <v>1115</v>
      </c>
      <c r="D962" t="s">
        <v>1127</v>
      </c>
      <c r="E962">
        <v>65.38</v>
      </c>
      <c r="F962">
        <v>410664</v>
      </c>
      <c r="G962" t="s">
        <v>1132</v>
      </c>
      <c r="H962" t="s">
        <v>1133</v>
      </c>
    </row>
    <row r="963" spans="1:8" x14ac:dyDescent="0.25">
      <c r="A963" t="s">
        <v>42</v>
      </c>
      <c r="B963" t="s">
        <v>1069</v>
      </c>
      <c r="C963" t="s">
        <v>1108</v>
      </c>
      <c r="D963" t="s">
        <v>1124</v>
      </c>
      <c r="E963">
        <v>93.12</v>
      </c>
      <c r="F963">
        <v>285724</v>
      </c>
      <c r="G963" t="s">
        <v>1132</v>
      </c>
      <c r="H963" t="s">
        <v>1133</v>
      </c>
    </row>
    <row r="964" spans="1:8" x14ac:dyDescent="0.25">
      <c r="A964" t="s">
        <v>37</v>
      </c>
      <c r="B964" t="s">
        <v>1070</v>
      </c>
      <c r="C964" t="s">
        <v>1113</v>
      </c>
      <c r="D964" t="s">
        <v>1122</v>
      </c>
      <c r="E964">
        <v>63.08</v>
      </c>
      <c r="F964">
        <v>473192</v>
      </c>
      <c r="G964" t="s">
        <v>1128</v>
      </c>
      <c r="H964" t="s">
        <v>1134</v>
      </c>
    </row>
    <row r="965" spans="1:8" x14ac:dyDescent="0.25">
      <c r="A965" t="s">
        <v>65</v>
      </c>
      <c r="B965" t="s">
        <v>1071</v>
      </c>
      <c r="C965" t="s">
        <v>1109</v>
      </c>
      <c r="D965" t="s">
        <v>1124</v>
      </c>
      <c r="E965">
        <v>45.29</v>
      </c>
      <c r="F965">
        <v>441462</v>
      </c>
      <c r="G965" t="s">
        <v>1128</v>
      </c>
      <c r="H965" t="s">
        <v>1133</v>
      </c>
    </row>
    <row r="966" spans="1:8" x14ac:dyDescent="0.25">
      <c r="A966" t="s">
        <v>99</v>
      </c>
      <c r="B966" t="s">
        <v>1072</v>
      </c>
      <c r="C966" t="s">
        <v>1110</v>
      </c>
      <c r="D966" t="s">
        <v>1124</v>
      </c>
      <c r="E966">
        <v>83.15</v>
      </c>
      <c r="F966">
        <v>365110</v>
      </c>
      <c r="G966" t="s">
        <v>1129</v>
      </c>
      <c r="H966" t="s">
        <v>1133</v>
      </c>
    </row>
    <row r="967" spans="1:8" x14ac:dyDescent="0.25">
      <c r="A967" t="s">
        <v>105</v>
      </c>
      <c r="B967" t="s">
        <v>1073</v>
      </c>
      <c r="C967" t="s">
        <v>1109</v>
      </c>
      <c r="D967" t="s">
        <v>1124</v>
      </c>
      <c r="E967">
        <v>60.97</v>
      </c>
      <c r="F967">
        <v>452101</v>
      </c>
      <c r="G967" t="s">
        <v>1129</v>
      </c>
      <c r="H967" t="s">
        <v>1133</v>
      </c>
    </row>
    <row r="968" spans="1:8" x14ac:dyDescent="0.25">
      <c r="A968" t="s">
        <v>67</v>
      </c>
      <c r="B968" t="s">
        <v>1074</v>
      </c>
      <c r="C968" t="s">
        <v>1109</v>
      </c>
      <c r="D968" t="s">
        <v>1120</v>
      </c>
      <c r="E968">
        <v>83.92</v>
      </c>
      <c r="F968">
        <v>437870</v>
      </c>
      <c r="G968" t="s">
        <v>1131</v>
      </c>
      <c r="H968" t="s">
        <v>1133</v>
      </c>
    </row>
    <row r="969" spans="1:8" x14ac:dyDescent="0.25">
      <c r="A969" t="s">
        <v>82</v>
      </c>
      <c r="B969" t="s">
        <v>1075</v>
      </c>
      <c r="C969" t="s">
        <v>1108</v>
      </c>
      <c r="D969" t="s">
        <v>1122</v>
      </c>
      <c r="E969">
        <v>67.959999999999994</v>
      </c>
      <c r="F969">
        <v>394451</v>
      </c>
      <c r="G969" t="s">
        <v>1131</v>
      </c>
      <c r="H969" t="s">
        <v>1133</v>
      </c>
    </row>
    <row r="970" spans="1:8" x14ac:dyDescent="0.25">
      <c r="A970" t="s">
        <v>34</v>
      </c>
      <c r="B970" t="s">
        <v>1076</v>
      </c>
      <c r="C970" t="s">
        <v>1116</v>
      </c>
      <c r="D970" t="s">
        <v>1123</v>
      </c>
      <c r="E970">
        <v>56.53</v>
      </c>
      <c r="F970">
        <v>832017</v>
      </c>
      <c r="G970" t="s">
        <v>1128</v>
      </c>
      <c r="H970" t="s">
        <v>1133</v>
      </c>
    </row>
    <row r="971" spans="1:8" x14ac:dyDescent="0.25">
      <c r="A971" t="s">
        <v>100</v>
      </c>
      <c r="B971" t="s">
        <v>1077</v>
      </c>
      <c r="C971" t="s">
        <v>1110</v>
      </c>
      <c r="D971" t="s">
        <v>1124</v>
      </c>
      <c r="E971">
        <v>99.46</v>
      </c>
      <c r="F971">
        <v>258195</v>
      </c>
      <c r="G971" t="s">
        <v>1130</v>
      </c>
      <c r="H971" t="s">
        <v>1134</v>
      </c>
    </row>
    <row r="972" spans="1:8" x14ac:dyDescent="0.25">
      <c r="A972" t="s">
        <v>47</v>
      </c>
      <c r="B972" t="s">
        <v>1078</v>
      </c>
      <c r="C972" t="s">
        <v>1108</v>
      </c>
      <c r="D972" t="s">
        <v>1123</v>
      </c>
      <c r="E972">
        <v>62.96</v>
      </c>
      <c r="F972">
        <v>979972</v>
      </c>
      <c r="G972" t="s">
        <v>1128</v>
      </c>
      <c r="H972" t="s">
        <v>1133</v>
      </c>
    </row>
    <row r="973" spans="1:8" x14ac:dyDescent="0.25">
      <c r="A973" t="s">
        <v>24</v>
      </c>
      <c r="B973" t="s">
        <v>1079</v>
      </c>
      <c r="C973" t="s">
        <v>1108</v>
      </c>
      <c r="D973" t="s">
        <v>1119</v>
      </c>
      <c r="E973">
        <v>39.92</v>
      </c>
      <c r="F973">
        <v>973713</v>
      </c>
      <c r="G973" t="s">
        <v>1131</v>
      </c>
      <c r="H973" t="s">
        <v>1134</v>
      </c>
    </row>
    <row r="974" spans="1:8" x14ac:dyDescent="0.25">
      <c r="A974" t="s">
        <v>22</v>
      </c>
      <c r="B974" t="s">
        <v>1080</v>
      </c>
      <c r="C974" t="s">
        <v>1110</v>
      </c>
      <c r="D974" t="s">
        <v>1118</v>
      </c>
      <c r="E974">
        <v>56.88</v>
      </c>
      <c r="F974">
        <v>352622</v>
      </c>
      <c r="G974" t="s">
        <v>1132</v>
      </c>
      <c r="H974" t="s">
        <v>1133</v>
      </c>
    </row>
    <row r="975" spans="1:8" x14ac:dyDescent="0.25">
      <c r="A975" t="s">
        <v>47</v>
      </c>
      <c r="B975" t="s">
        <v>1081</v>
      </c>
      <c r="C975" t="s">
        <v>1109</v>
      </c>
      <c r="D975" t="s">
        <v>1124</v>
      </c>
      <c r="E975">
        <v>99.27</v>
      </c>
      <c r="F975">
        <v>227518</v>
      </c>
      <c r="G975" t="s">
        <v>1130</v>
      </c>
      <c r="H975" t="s">
        <v>1134</v>
      </c>
    </row>
    <row r="976" spans="1:8" x14ac:dyDescent="0.25">
      <c r="A976" t="s">
        <v>50</v>
      </c>
      <c r="B976" t="s">
        <v>1082</v>
      </c>
      <c r="C976" t="s">
        <v>1116</v>
      </c>
      <c r="D976" t="s">
        <v>1127</v>
      </c>
      <c r="E976">
        <v>77.760000000000005</v>
      </c>
      <c r="F976">
        <v>124691</v>
      </c>
      <c r="G976" t="s">
        <v>1131</v>
      </c>
      <c r="H976" t="s">
        <v>1133</v>
      </c>
    </row>
    <row r="977" spans="1:8" x14ac:dyDescent="0.25">
      <c r="A977" t="s">
        <v>88</v>
      </c>
      <c r="B977" t="s">
        <v>1083</v>
      </c>
      <c r="C977" t="s">
        <v>1115</v>
      </c>
      <c r="D977" t="s">
        <v>1121</v>
      </c>
      <c r="E977">
        <v>55.32</v>
      </c>
      <c r="F977">
        <v>575912</v>
      </c>
      <c r="G977" t="s">
        <v>1132</v>
      </c>
      <c r="H977" t="s">
        <v>1134</v>
      </c>
    </row>
    <row r="978" spans="1:8" x14ac:dyDescent="0.25">
      <c r="A978" t="s">
        <v>89</v>
      </c>
      <c r="B978" t="s">
        <v>1084</v>
      </c>
      <c r="C978" t="s">
        <v>1114</v>
      </c>
      <c r="D978" t="s">
        <v>1119</v>
      </c>
      <c r="E978">
        <v>54.84</v>
      </c>
      <c r="F978">
        <v>146420</v>
      </c>
      <c r="G978" t="s">
        <v>1130</v>
      </c>
      <c r="H978" t="s">
        <v>1133</v>
      </c>
    </row>
    <row r="979" spans="1:8" x14ac:dyDescent="0.25">
      <c r="A979" t="s">
        <v>61</v>
      </c>
      <c r="B979" t="s">
        <v>1085</v>
      </c>
      <c r="C979" t="s">
        <v>1115</v>
      </c>
      <c r="D979" t="s">
        <v>1125</v>
      </c>
      <c r="E979">
        <v>79.3</v>
      </c>
      <c r="F979">
        <v>409590</v>
      </c>
      <c r="G979" t="s">
        <v>1132</v>
      </c>
      <c r="H979" t="s">
        <v>1133</v>
      </c>
    </row>
    <row r="980" spans="1:8" x14ac:dyDescent="0.25">
      <c r="A980" t="s">
        <v>25</v>
      </c>
      <c r="B980" t="s">
        <v>1086</v>
      </c>
      <c r="C980" t="s">
        <v>1116</v>
      </c>
      <c r="D980" t="s">
        <v>1126</v>
      </c>
      <c r="E980">
        <v>83.67</v>
      </c>
      <c r="F980">
        <v>620822</v>
      </c>
      <c r="G980" t="s">
        <v>1129</v>
      </c>
      <c r="H980" t="s">
        <v>1134</v>
      </c>
    </row>
    <row r="981" spans="1:8" x14ac:dyDescent="0.25">
      <c r="A981" t="s">
        <v>40</v>
      </c>
      <c r="B981" t="s">
        <v>1087</v>
      </c>
      <c r="C981" t="s">
        <v>1110</v>
      </c>
      <c r="D981" t="s">
        <v>1118</v>
      </c>
      <c r="E981">
        <v>50.52</v>
      </c>
      <c r="F981">
        <v>987067</v>
      </c>
      <c r="G981" t="s">
        <v>1130</v>
      </c>
      <c r="H981" t="s">
        <v>1134</v>
      </c>
    </row>
    <row r="982" spans="1:8" x14ac:dyDescent="0.25">
      <c r="A982" t="s">
        <v>72</v>
      </c>
      <c r="B982" t="s">
        <v>1088</v>
      </c>
      <c r="C982" t="s">
        <v>1110</v>
      </c>
      <c r="D982" t="s">
        <v>1123</v>
      </c>
      <c r="E982">
        <v>98.52</v>
      </c>
      <c r="F982">
        <v>142064</v>
      </c>
      <c r="G982" t="s">
        <v>1129</v>
      </c>
      <c r="H982" t="s">
        <v>1134</v>
      </c>
    </row>
    <row r="983" spans="1:8" x14ac:dyDescent="0.25">
      <c r="A983" t="s">
        <v>71</v>
      </c>
      <c r="B983" t="s">
        <v>1089</v>
      </c>
      <c r="C983" t="s">
        <v>1114</v>
      </c>
      <c r="D983" t="s">
        <v>1121</v>
      </c>
      <c r="E983">
        <v>84.93</v>
      </c>
      <c r="F983">
        <v>160767</v>
      </c>
      <c r="G983" t="s">
        <v>1128</v>
      </c>
      <c r="H983" t="s">
        <v>1133</v>
      </c>
    </row>
    <row r="984" spans="1:8" x14ac:dyDescent="0.25">
      <c r="A984" t="s">
        <v>80</v>
      </c>
      <c r="B984" t="s">
        <v>1090</v>
      </c>
      <c r="C984" t="s">
        <v>1111</v>
      </c>
      <c r="D984" t="s">
        <v>1121</v>
      </c>
      <c r="E984">
        <v>74.290000000000006</v>
      </c>
      <c r="F984">
        <v>345841</v>
      </c>
      <c r="G984" t="s">
        <v>1129</v>
      </c>
      <c r="H984" t="s">
        <v>1133</v>
      </c>
    </row>
    <row r="985" spans="1:8" x14ac:dyDescent="0.25">
      <c r="A985" t="s">
        <v>46</v>
      </c>
      <c r="B985" t="s">
        <v>1091</v>
      </c>
      <c r="C985" t="s">
        <v>1112</v>
      </c>
      <c r="D985" t="s">
        <v>1125</v>
      </c>
      <c r="E985">
        <v>97.41</v>
      </c>
      <c r="F985">
        <v>994998</v>
      </c>
      <c r="G985" t="s">
        <v>1128</v>
      </c>
      <c r="H985" t="s">
        <v>1133</v>
      </c>
    </row>
    <row r="986" spans="1:8" x14ac:dyDescent="0.25">
      <c r="A986" t="s">
        <v>74</v>
      </c>
      <c r="B986" t="s">
        <v>1092</v>
      </c>
      <c r="C986" t="s">
        <v>1109</v>
      </c>
      <c r="D986" t="s">
        <v>1126</v>
      </c>
      <c r="E986">
        <v>65.790000000000006</v>
      </c>
      <c r="F986">
        <v>838918</v>
      </c>
      <c r="G986" t="s">
        <v>1131</v>
      </c>
      <c r="H986" t="s">
        <v>1133</v>
      </c>
    </row>
    <row r="987" spans="1:8" x14ac:dyDescent="0.25">
      <c r="A987" t="s">
        <v>61</v>
      </c>
      <c r="B987" t="s">
        <v>1093</v>
      </c>
      <c r="C987" t="s">
        <v>1114</v>
      </c>
      <c r="D987" t="s">
        <v>1123</v>
      </c>
      <c r="E987">
        <v>90.13</v>
      </c>
      <c r="F987">
        <v>295212</v>
      </c>
      <c r="G987" t="s">
        <v>1130</v>
      </c>
      <c r="H987" t="s">
        <v>1133</v>
      </c>
    </row>
    <row r="988" spans="1:8" x14ac:dyDescent="0.25">
      <c r="A988" t="s">
        <v>70</v>
      </c>
      <c r="B988" t="s">
        <v>1094</v>
      </c>
      <c r="C988" t="s">
        <v>1112</v>
      </c>
      <c r="D988" t="s">
        <v>1120</v>
      </c>
      <c r="E988">
        <v>71.709999999999994</v>
      </c>
      <c r="F988">
        <v>457410</v>
      </c>
      <c r="G988" t="s">
        <v>1130</v>
      </c>
      <c r="H988" t="s">
        <v>1133</v>
      </c>
    </row>
    <row r="989" spans="1:8" x14ac:dyDescent="0.25">
      <c r="A989" t="s">
        <v>57</v>
      </c>
      <c r="B989" t="s">
        <v>1095</v>
      </c>
      <c r="C989" t="s">
        <v>1111</v>
      </c>
      <c r="D989" t="s">
        <v>1121</v>
      </c>
      <c r="E989">
        <v>76.959999999999994</v>
      </c>
      <c r="F989">
        <v>716010</v>
      </c>
      <c r="G989" t="s">
        <v>1130</v>
      </c>
      <c r="H989" t="s">
        <v>1134</v>
      </c>
    </row>
    <row r="990" spans="1:8" x14ac:dyDescent="0.25">
      <c r="A990" t="s">
        <v>106</v>
      </c>
      <c r="B990" t="s">
        <v>1096</v>
      </c>
      <c r="C990" t="s">
        <v>1111</v>
      </c>
      <c r="D990" t="s">
        <v>1124</v>
      </c>
      <c r="E990">
        <v>62.73</v>
      </c>
      <c r="F990">
        <v>489121</v>
      </c>
      <c r="G990" t="s">
        <v>1131</v>
      </c>
      <c r="H990" t="s">
        <v>1134</v>
      </c>
    </row>
    <row r="991" spans="1:8" x14ac:dyDescent="0.25">
      <c r="A991" t="s">
        <v>8</v>
      </c>
      <c r="B991" t="s">
        <v>1097</v>
      </c>
      <c r="C991" t="s">
        <v>1110</v>
      </c>
      <c r="D991" t="s">
        <v>1123</v>
      </c>
      <c r="E991">
        <v>78.010000000000005</v>
      </c>
      <c r="F991">
        <v>436134</v>
      </c>
      <c r="G991" t="s">
        <v>1128</v>
      </c>
      <c r="H991" t="s">
        <v>1133</v>
      </c>
    </row>
    <row r="992" spans="1:8" x14ac:dyDescent="0.25">
      <c r="A992" t="s">
        <v>93</v>
      </c>
      <c r="B992" t="s">
        <v>1098</v>
      </c>
      <c r="C992" t="s">
        <v>1116</v>
      </c>
      <c r="D992" t="s">
        <v>1120</v>
      </c>
      <c r="E992">
        <v>53.2</v>
      </c>
      <c r="F992">
        <v>599407</v>
      </c>
      <c r="G992" t="s">
        <v>1129</v>
      </c>
      <c r="H992" t="s">
        <v>1133</v>
      </c>
    </row>
    <row r="993" spans="1:8" x14ac:dyDescent="0.25">
      <c r="A993" t="s">
        <v>69</v>
      </c>
      <c r="B993" t="s">
        <v>1099</v>
      </c>
      <c r="C993" t="s">
        <v>1109</v>
      </c>
      <c r="D993" t="s">
        <v>1118</v>
      </c>
      <c r="E993">
        <v>41.59</v>
      </c>
      <c r="F993">
        <v>867863</v>
      </c>
      <c r="G993" t="s">
        <v>1130</v>
      </c>
      <c r="H993" t="s">
        <v>1133</v>
      </c>
    </row>
    <row r="994" spans="1:8" x14ac:dyDescent="0.25">
      <c r="A994" t="s">
        <v>78</v>
      </c>
      <c r="B994" t="s">
        <v>1100</v>
      </c>
      <c r="C994" t="s">
        <v>1108</v>
      </c>
      <c r="D994" t="s">
        <v>1124</v>
      </c>
      <c r="E994">
        <v>58.66</v>
      </c>
      <c r="F994">
        <v>888896</v>
      </c>
      <c r="G994" t="s">
        <v>1132</v>
      </c>
      <c r="H994" t="s">
        <v>1133</v>
      </c>
    </row>
    <row r="995" spans="1:8" x14ac:dyDescent="0.25">
      <c r="A995" t="s">
        <v>79</v>
      </c>
      <c r="B995" t="s">
        <v>1101</v>
      </c>
      <c r="C995" t="s">
        <v>1110</v>
      </c>
      <c r="D995" t="s">
        <v>1126</v>
      </c>
      <c r="E995">
        <v>71.819999999999993</v>
      </c>
      <c r="F995">
        <v>470216</v>
      </c>
      <c r="G995" t="s">
        <v>1132</v>
      </c>
      <c r="H995" t="s">
        <v>1133</v>
      </c>
    </row>
    <row r="996" spans="1:8" x14ac:dyDescent="0.25">
      <c r="A996" t="s">
        <v>47</v>
      </c>
      <c r="B996" t="s">
        <v>1102</v>
      </c>
      <c r="C996" t="s">
        <v>1115</v>
      </c>
      <c r="D996" t="s">
        <v>1120</v>
      </c>
      <c r="E996">
        <v>57.55</v>
      </c>
      <c r="F996">
        <v>217470</v>
      </c>
      <c r="G996" t="s">
        <v>1131</v>
      </c>
      <c r="H996" t="s">
        <v>1133</v>
      </c>
    </row>
    <row r="997" spans="1:8" x14ac:dyDescent="0.25">
      <c r="A997" t="s">
        <v>31</v>
      </c>
      <c r="B997" t="s">
        <v>1103</v>
      </c>
      <c r="C997" t="s">
        <v>1110</v>
      </c>
      <c r="D997" t="s">
        <v>1121</v>
      </c>
      <c r="E997">
        <v>45.35</v>
      </c>
      <c r="F997">
        <v>725540</v>
      </c>
      <c r="G997" t="s">
        <v>1130</v>
      </c>
      <c r="H997" t="s">
        <v>1134</v>
      </c>
    </row>
    <row r="998" spans="1:8" x14ac:dyDescent="0.25">
      <c r="A998" t="s">
        <v>73</v>
      </c>
      <c r="B998" t="s">
        <v>1104</v>
      </c>
      <c r="C998" t="s">
        <v>1115</v>
      </c>
      <c r="D998" t="s">
        <v>1127</v>
      </c>
      <c r="E998">
        <v>92.86</v>
      </c>
      <c r="F998">
        <v>399251</v>
      </c>
      <c r="G998" t="s">
        <v>1132</v>
      </c>
      <c r="H998" t="s">
        <v>1133</v>
      </c>
    </row>
    <row r="999" spans="1:8" x14ac:dyDescent="0.25">
      <c r="A999" t="s">
        <v>93</v>
      </c>
      <c r="B999" t="s">
        <v>1105</v>
      </c>
      <c r="C999" t="s">
        <v>1115</v>
      </c>
      <c r="D999" t="s">
        <v>1121</v>
      </c>
      <c r="E999">
        <v>95.95</v>
      </c>
      <c r="F999">
        <v>292881</v>
      </c>
      <c r="G999" t="s">
        <v>1130</v>
      </c>
      <c r="H999" t="s">
        <v>1133</v>
      </c>
    </row>
    <row r="1000" spans="1:8" x14ac:dyDescent="0.25">
      <c r="A1000" t="s">
        <v>9</v>
      </c>
      <c r="B1000" t="s">
        <v>1106</v>
      </c>
      <c r="C1000" t="s">
        <v>1110</v>
      </c>
      <c r="D1000" t="s">
        <v>1125</v>
      </c>
      <c r="E1000">
        <v>77.67</v>
      </c>
      <c r="F1000">
        <v>173906</v>
      </c>
      <c r="G1000" t="s">
        <v>1131</v>
      </c>
      <c r="H1000" t="s">
        <v>1133</v>
      </c>
    </row>
    <row r="1001" spans="1:8" x14ac:dyDescent="0.25">
      <c r="A1001" t="s">
        <v>70</v>
      </c>
      <c r="B1001" t="s">
        <v>1107</v>
      </c>
      <c r="C1001" t="s">
        <v>1110</v>
      </c>
      <c r="D1001" t="s">
        <v>1123</v>
      </c>
      <c r="E1001">
        <v>75.05</v>
      </c>
      <c r="F1001">
        <v>333499</v>
      </c>
      <c r="G1001" t="s">
        <v>1129</v>
      </c>
      <c r="H1001" t="s">
        <v>1133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60831-75DD-4770-8897-3A448C188A6B}">
  <dimension ref="A1:R1001"/>
  <sheetViews>
    <sheetView tabSelected="1" topLeftCell="F1" zoomScale="80" zoomScaleNormal="80" workbookViewId="0">
      <selection activeCell="N8" sqref="N8"/>
    </sheetView>
  </sheetViews>
  <sheetFormatPr defaultRowHeight="15" x14ac:dyDescent="0.25"/>
  <cols>
    <col min="3" max="3" width="12.85546875" customWidth="1"/>
    <col min="8" max="8" width="7.7109375" customWidth="1"/>
    <col min="9" max="9" width="11.42578125" customWidth="1"/>
    <col min="10" max="12" width="9.5703125" customWidth="1"/>
    <col min="13" max="13" width="13" customWidth="1"/>
    <col min="14" max="14" width="19.28515625" customWidth="1"/>
    <col min="15" max="15" width="14.42578125" customWidth="1"/>
    <col min="17" max="17" width="13.42578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1181</v>
      </c>
      <c r="J1" s="4" t="s">
        <v>1182</v>
      </c>
      <c r="K1" s="4"/>
      <c r="L1" s="4"/>
    </row>
    <row r="2" spans="1:18" x14ac:dyDescent="0.25">
      <c r="A2" t="s">
        <v>8</v>
      </c>
      <c r="B2" t="s">
        <v>108</v>
      </c>
      <c r="C2" t="s">
        <v>1108</v>
      </c>
      <c r="D2" t="s">
        <v>1118</v>
      </c>
      <c r="E2">
        <v>83.07</v>
      </c>
      <c r="F2">
        <v>810898</v>
      </c>
      <c r="G2" t="s">
        <v>1128</v>
      </c>
      <c r="H2" t="s">
        <v>1133</v>
      </c>
      <c r="I2">
        <v>63</v>
      </c>
    </row>
    <row r="3" spans="1:18" x14ac:dyDescent="0.25">
      <c r="A3" t="s">
        <v>9</v>
      </c>
      <c r="B3" t="s">
        <v>109</v>
      </c>
      <c r="C3" t="s">
        <v>1109</v>
      </c>
      <c r="D3" t="s">
        <v>1119</v>
      </c>
      <c r="E3">
        <v>65.63</v>
      </c>
      <c r="F3">
        <v>704184</v>
      </c>
      <c r="G3" t="s">
        <v>1128</v>
      </c>
      <c r="H3" t="s">
        <v>1133</v>
      </c>
      <c r="I3">
        <v>89</v>
      </c>
      <c r="M3" t="s">
        <v>1179</v>
      </c>
      <c r="P3" t="s">
        <v>1186</v>
      </c>
      <c r="Q3" t="s">
        <v>1187</v>
      </c>
      <c r="R3" t="s">
        <v>1188</v>
      </c>
    </row>
    <row r="4" spans="1:18" x14ac:dyDescent="0.25">
      <c r="A4" t="s">
        <v>10</v>
      </c>
      <c r="B4" t="s">
        <v>110</v>
      </c>
      <c r="C4" t="s">
        <v>1110</v>
      </c>
      <c r="D4" t="s">
        <v>1120</v>
      </c>
      <c r="E4">
        <v>39.79</v>
      </c>
      <c r="F4">
        <v>969737</v>
      </c>
      <c r="G4" t="s">
        <v>1129</v>
      </c>
      <c r="H4" t="s">
        <v>1133</v>
      </c>
      <c r="I4">
        <v>25</v>
      </c>
      <c r="P4">
        <v>39.51</v>
      </c>
      <c r="Q4">
        <v>56</v>
      </c>
      <c r="R4">
        <v>76.09</v>
      </c>
    </row>
    <row r="5" spans="1:18" x14ac:dyDescent="0.25">
      <c r="A5" t="s">
        <v>11</v>
      </c>
      <c r="B5" t="s">
        <v>111</v>
      </c>
      <c r="C5" t="s">
        <v>1111</v>
      </c>
      <c r="D5" t="s">
        <v>1121</v>
      </c>
      <c r="E5">
        <v>94.76</v>
      </c>
      <c r="F5">
        <v>365755</v>
      </c>
      <c r="G5" t="s">
        <v>1130</v>
      </c>
      <c r="H5" t="s">
        <v>1134</v>
      </c>
      <c r="I5">
        <v>56</v>
      </c>
      <c r="M5" t="s">
        <v>1180</v>
      </c>
      <c r="N5">
        <v>35</v>
      </c>
    </row>
    <row r="6" spans="1:18" x14ac:dyDescent="0.25">
      <c r="A6" t="s">
        <v>12</v>
      </c>
      <c r="B6" t="s">
        <v>112</v>
      </c>
      <c r="C6" t="s">
        <v>1112</v>
      </c>
      <c r="D6" t="s">
        <v>1122</v>
      </c>
      <c r="E6">
        <v>84.23</v>
      </c>
      <c r="F6">
        <v>638885</v>
      </c>
      <c r="G6" t="s">
        <v>1131</v>
      </c>
      <c r="H6" t="s">
        <v>1133</v>
      </c>
      <c r="I6">
        <v>89</v>
      </c>
      <c r="Q6" t="s">
        <v>1189</v>
      </c>
      <c r="R6" t="s">
        <v>1193</v>
      </c>
    </row>
    <row r="7" spans="1:18" x14ac:dyDescent="0.25">
      <c r="A7" t="s">
        <v>13</v>
      </c>
      <c r="B7" t="s">
        <v>113</v>
      </c>
      <c r="C7" t="s">
        <v>1110</v>
      </c>
      <c r="D7" t="s">
        <v>1122</v>
      </c>
      <c r="E7">
        <v>35.53</v>
      </c>
      <c r="F7">
        <v>901020</v>
      </c>
      <c r="G7" t="s">
        <v>1130</v>
      </c>
      <c r="H7" t="s">
        <v>1133</v>
      </c>
      <c r="I7">
        <v>47</v>
      </c>
      <c r="L7" t="s">
        <v>1184</v>
      </c>
      <c r="M7" t="s">
        <v>1183</v>
      </c>
      <c r="Q7" t="s">
        <v>1192</v>
      </c>
      <c r="R7" t="s">
        <v>1190</v>
      </c>
    </row>
    <row r="8" spans="1:18" x14ac:dyDescent="0.25">
      <c r="A8" t="s">
        <v>14</v>
      </c>
      <c r="B8" t="s">
        <v>114</v>
      </c>
      <c r="C8" t="s">
        <v>1111</v>
      </c>
      <c r="D8" t="s">
        <v>1123</v>
      </c>
      <c r="E8">
        <v>76.09</v>
      </c>
      <c r="F8">
        <v>560363</v>
      </c>
      <c r="G8" t="s">
        <v>1132</v>
      </c>
      <c r="H8" t="s">
        <v>1133</v>
      </c>
      <c r="I8">
        <v>88</v>
      </c>
      <c r="K8" s="5" t="s">
        <v>1185</v>
      </c>
      <c r="N8" s="5" t="s">
        <v>1195</v>
      </c>
      <c r="Q8" t="s">
        <v>1191</v>
      </c>
    </row>
    <row r="9" spans="1:18" x14ac:dyDescent="0.25">
      <c r="A9" t="s">
        <v>15</v>
      </c>
      <c r="B9" t="s">
        <v>115</v>
      </c>
      <c r="C9" t="s">
        <v>1112</v>
      </c>
      <c r="D9" t="s">
        <v>1120</v>
      </c>
      <c r="E9">
        <v>92.88</v>
      </c>
      <c r="F9">
        <v>220806</v>
      </c>
      <c r="G9" t="s">
        <v>1131</v>
      </c>
      <c r="H9" t="s">
        <v>1134</v>
      </c>
      <c r="I9">
        <v>22</v>
      </c>
      <c r="L9" t="str">
        <f>IF(I2&gt;N$5,"student is pass","student is fail")</f>
        <v>student is pass</v>
      </c>
      <c r="N9" t="str">
        <f>IF(P4&gt;Q4,"ok",IF(P4&gt;R4,"good","bad"))</f>
        <v>bad</v>
      </c>
    </row>
    <row r="10" spans="1:18" x14ac:dyDescent="0.25">
      <c r="A10" t="s">
        <v>16</v>
      </c>
      <c r="B10" t="s">
        <v>116</v>
      </c>
      <c r="C10" t="s">
        <v>1113</v>
      </c>
      <c r="D10" t="s">
        <v>1120</v>
      </c>
      <c r="E10">
        <v>53.16</v>
      </c>
      <c r="F10">
        <v>164587</v>
      </c>
      <c r="G10" t="s">
        <v>1128</v>
      </c>
      <c r="H10" t="s">
        <v>1133</v>
      </c>
      <c r="I10">
        <v>63</v>
      </c>
      <c r="L10" t="str">
        <f t="shared" ref="L10:L29" si="0">IF(I3&gt;N$5,"student is pass","student is fail")</f>
        <v>student is pass</v>
      </c>
      <c r="N10" t="str">
        <f t="shared" ref="N10:N29" si="1">IF(P5&gt;Q5,"ok",IF(P5&gt;R5,"good","bad"))</f>
        <v>bad</v>
      </c>
    </row>
    <row r="11" spans="1:18" x14ac:dyDescent="0.25">
      <c r="A11" t="s">
        <v>17</v>
      </c>
      <c r="B11" t="s">
        <v>117</v>
      </c>
      <c r="C11" t="s">
        <v>1108</v>
      </c>
      <c r="D11" t="s">
        <v>1124</v>
      </c>
      <c r="E11">
        <v>99.56</v>
      </c>
      <c r="F11">
        <v>378449</v>
      </c>
      <c r="G11" t="s">
        <v>1130</v>
      </c>
      <c r="H11" t="s">
        <v>1133</v>
      </c>
      <c r="I11">
        <v>68</v>
      </c>
      <c r="L11" t="str">
        <f t="shared" si="0"/>
        <v>student is fail</v>
      </c>
      <c r="N11" t="str">
        <f t="shared" si="1"/>
        <v>bad</v>
      </c>
    </row>
    <row r="12" spans="1:18" x14ac:dyDescent="0.25">
      <c r="A12" t="s">
        <v>18</v>
      </c>
      <c r="B12" t="s">
        <v>118</v>
      </c>
      <c r="C12" t="s">
        <v>1114</v>
      </c>
      <c r="D12" t="s">
        <v>1125</v>
      </c>
      <c r="E12">
        <v>67.38</v>
      </c>
      <c r="F12">
        <v>153520</v>
      </c>
      <c r="G12" t="s">
        <v>1129</v>
      </c>
      <c r="H12" t="s">
        <v>1133</v>
      </c>
      <c r="I12">
        <v>89</v>
      </c>
      <c r="L12" t="str">
        <f t="shared" si="0"/>
        <v>student is pass</v>
      </c>
      <c r="N12" t="str">
        <f t="shared" si="1"/>
        <v>bad</v>
      </c>
    </row>
    <row r="13" spans="1:18" x14ac:dyDescent="0.25">
      <c r="A13" t="s">
        <v>19</v>
      </c>
      <c r="B13" t="s">
        <v>119</v>
      </c>
      <c r="C13" t="s">
        <v>1112</v>
      </c>
      <c r="D13" t="s">
        <v>1120</v>
      </c>
      <c r="E13">
        <v>60.84</v>
      </c>
      <c r="F13">
        <v>113907</v>
      </c>
      <c r="G13" t="s">
        <v>1129</v>
      </c>
      <c r="H13" t="s">
        <v>1133</v>
      </c>
      <c r="I13">
        <v>12</v>
      </c>
      <c r="L13" t="str">
        <f t="shared" si="0"/>
        <v>student is pass</v>
      </c>
      <c r="N13" t="str">
        <f t="shared" si="1"/>
        <v>bad</v>
      </c>
    </row>
    <row r="14" spans="1:18" x14ac:dyDescent="0.25">
      <c r="A14" t="s">
        <v>20</v>
      </c>
      <c r="B14" t="s">
        <v>120</v>
      </c>
      <c r="C14" t="s">
        <v>1115</v>
      </c>
      <c r="D14" t="s">
        <v>1118</v>
      </c>
      <c r="E14">
        <v>87.82</v>
      </c>
      <c r="F14">
        <v>950741</v>
      </c>
      <c r="G14" t="s">
        <v>1130</v>
      </c>
      <c r="H14" t="s">
        <v>1134</v>
      </c>
      <c r="I14">
        <v>14</v>
      </c>
      <c r="L14" t="str">
        <f t="shared" si="0"/>
        <v>student is pass</v>
      </c>
      <c r="N14" t="str">
        <f t="shared" si="1"/>
        <v>bad</v>
      </c>
    </row>
    <row r="15" spans="1:18" x14ac:dyDescent="0.25">
      <c r="A15" t="s">
        <v>21</v>
      </c>
      <c r="B15" t="s">
        <v>121</v>
      </c>
      <c r="C15" t="s">
        <v>1116</v>
      </c>
      <c r="D15" t="s">
        <v>1126</v>
      </c>
      <c r="E15">
        <v>78.42</v>
      </c>
      <c r="F15">
        <v>443837</v>
      </c>
      <c r="G15" t="s">
        <v>1132</v>
      </c>
      <c r="H15" t="s">
        <v>1133</v>
      </c>
      <c r="I15">
        <v>54</v>
      </c>
      <c r="L15" t="str">
        <f t="shared" si="0"/>
        <v>student is pass</v>
      </c>
      <c r="N15" t="str">
        <f t="shared" si="1"/>
        <v>bad</v>
      </c>
    </row>
    <row r="16" spans="1:18" x14ac:dyDescent="0.25">
      <c r="A16" t="s">
        <v>22</v>
      </c>
      <c r="B16" t="s">
        <v>122</v>
      </c>
      <c r="C16" t="s">
        <v>1115</v>
      </c>
      <c r="D16" t="s">
        <v>1121</v>
      </c>
      <c r="E16">
        <v>48.58</v>
      </c>
      <c r="F16">
        <v>888640</v>
      </c>
      <c r="G16" t="s">
        <v>1130</v>
      </c>
      <c r="H16" t="s">
        <v>1133</v>
      </c>
      <c r="I16">
        <v>23</v>
      </c>
      <c r="L16" t="str">
        <f t="shared" si="0"/>
        <v>student is fail</v>
      </c>
      <c r="N16" t="str">
        <f t="shared" si="1"/>
        <v>bad</v>
      </c>
    </row>
    <row r="17" spans="1:14" x14ac:dyDescent="0.25">
      <c r="A17" t="s">
        <v>23</v>
      </c>
      <c r="B17" t="s">
        <v>123</v>
      </c>
      <c r="C17" t="s">
        <v>1113</v>
      </c>
      <c r="D17" t="s">
        <v>1119</v>
      </c>
      <c r="E17">
        <v>35.42</v>
      </c>
      <c r="F17">
        <v>447960</v>
      </c>
      <c r="G17" t="s">
        <v>1130</v>
      </c>
      <c r="H17" t="s">
        <v>1133</v>
      </c>
      <c r="I17">
        <v>66</v>
      </c>
      <c r="L17" t="str">
        <f t="shared" si="0"/>
        <v>student is pass</v>
      </c>
      <c r="N17" t="str">
        <f t="shared" si="1"/>
        <v>bad</v>
      </c>
    </row>
    <row r="18" spans="1:14" x14ac:dyDescent="0.25">
      <c r="A18" t="s">
        <v>24</v>
      </c>
      <c r="B18" t="s">
        <v>124</v>
      </c>
      <c r="C18" t="s">
        <v>1112</v>
      </c>
      <c r="D18" t="s">
        <v>1123</v>
      </c>
      <c r="E18">
        <v>55.03</v>
      </c>
      <c r="F18">
        <v>622406</v>
      </c>
      <c r="G18" t="s">
        <v>1129</v>
      </c>
      <c r="H18" t="s">
        <v>1133</v>
      </c>
      <c r="I18">
        <v>98</v>
      </c>
      <c r="L18" t="str">
        <f t="shared" si="0"/>
        <v>student is pass</v>
      </c>
      <c r="N18" t="str">
        <f t="shared" si="1"/>
        <v>bad</v>
      </c>
    </row>
    <row r="19" spans="1:14" x14ac:dyDescent="0.25">
      <c r="A19" t="s">
        <v>25</v>
      </c>
      <c r="B19" t="s">
        <v>125</v>
      </c>
      <c r="C19" t="s">
        <v>1111</v>
      </c>
      <c r="D19" t="s">
        <v>1125</v>
      </c>
      <c r="E19">
        <v>56</v>
      </c>
      <c r="F19">
        <v>484872</v>
      </c>
      <c r="G19" t="s">
        <v>1131</v>
      </c>
      <c r="H19" t="s">
        <v>1134</v>
      </c>
      <c r="I19">
        <v>78</v>
      </c>
      <c r="L19" t="str">
        <f t="shared" si="0"/>
        <v>student is pass</v>
      </c>
      <c r="N19" t="str">
        <f t="shared" si="1"/>
        <v>bad</v>
      </c>
    </row>
    <row r="20" spans="1:14" x14ac:dyDescent="0.25">
      <c r="A20" t="s">
        <v>26</v>
      </c>
      <c r="B20" t="s">
        <v>126</v>
      </c>
      <c r="C20" t="s">
        <v>1108</v>
      </c>
      <c r="D20" t="s">
        <v>1126</v>
      </c>
      <c r="E20">
        <v>88.14</v>
      </c>
      <c r="F20">
        <v>401546</v>
      </c>
      <c r="G20" t="s">
        <v>1130</v>
      </c>
      <c r="H20" t="s">
        <v>1133</v>
      </c>
      <c r="I20">
        <v>25</v>
      </c>
      <c r="L20" t="str">
        <f t="shared" si="0"/>
        <v>student is fail</v>
      </c>
      <c r="N20" t="str">
        <f t="shared" si="1"/>
        <v>bad</v>
      </c>
    </row>
    <row r="21" spans="1:14" x14ac:dyDescent="0.25">
      <c r="A21" t="s">
        <v>27</v>
      </c>
      <c r="B21" t="s">
        <v>127</v>
      </c>
      <c r="C21" t="s">
        <v>1108</v>
      </c>
      <c r="D21" t="s">
        <v>1126</v>
      </c>
      <c r="E21">
        <v>93.44</v>
      </c>
      <c r="F21">
        <v>901370</v>
      </c>
      <c r="G21" t="s">
        <v>1128</v>
      </c>
      <c r="H21" t="s">
        <v>1133</v>
      </c>
      <c r="I21">
        <v>69</v>
      </c>
      <c r="L21" t="str">
        <f t="shared" si="0"/>
        <v>student is fail</v>
      </c>
      <c r="N21" t="str">
        <f t="shared" si="1"/>
        <v>bad</v>
      </c>
    </row>
    <row r="22" spans="1:14" x14ac:dyDescent="0.25">
      <c r="A22" t="s">
        <v>28</v>
      </c>
      <c r="B22" t="s">
        <v>128</v>
      </c>
      <c r="C22" t="s">
        <v>1115</v>
      </c>
      <c r="D22" t="s">
        <v>1120</v>
      </c>
      <c r="E22">
        <v>61.5</v>
      </c>
      <c r="F22">
        <v>364071</v>
      </c>
      <c r="G22" t="s">
        <v>1128</v>
      </c>
      <c r="H22" t="s">
        <v>1133</v>
      </c>
      <c r="I22">
        <v>27</v>
      </c>
      <c r="L22" t="str">
        <f t="shared" si="0"/>
        <v>student is pass</v>
      </c>
      <c r="N22" t="str">
        <f t="shared" si="1"/>
        <v>bad</v>
      </c>
    </row>
    <row r="23" spans="1:14" x14ac:dyDescent="0.25">
      <c r="A23" t="s">
        <v>29</v>
      </c>
      <c r="B23" t="s">
        <v>129</v>
      </c>
      <c r="C23" t="s">
        <v>1111</v>
      </c>
      <c r="D23" t="s">
        <v>1125</v>
      </c>
      <c r="E23">
        <v>93.89</v>
      </c>
      <c r="F23">
        <v>321816</v>
      </c>
      <c r="G23" t="s">
        <v>1132</v>
      </c>
      <c r="H23" t="s">
        <v>1133</v>
      </c>
      <c r="I23">
        <v>19</v>
      </c>
      <c r="L23" t="str">
        <f t="shared" si="0"/>
        <v>student is fail</v>
      </c>
      <c r="N23" t="str">
        <f t="shared" si="1"/>
        <v>bad</v>
      </c>
    </row>
    <row r="24" spans="1:14" x14ac:dyDescent="0.25">
      <c r="A24" t="s">
        <v>30</v>
      </c>
      <c r="B24" t="s">
        <v>130</v>
      </c>
      <c r="C24" t="s">
        <v>1110</v>
      </c>
      <c r="D24" t="s">
        <v>1123</v>
      </c>
      <c r="E24">
        <v>73</v>
      </c>
      <c r="F24">
        <v>696067</v>
      </c>
      <c r="G24" t="s">
        <v>1129</v>
      </c>
      <c r="H24" t="s">
        <v>1133</v>
      </c>
      <c r="I24">
        <v>91</v>
      </c>
      <c r="L24" t="str">
        <f t="shared" si="0"/>
        <v>student is pass</v>
      </c>
      <c r="N24" t="str">
        <f t="shared" si="1"/>
        <v>bad</v>
      </c>
    </row>
    <row r="25" spans="1:14" x14ac:dyDescent="0.25">
      <c r="A25" t="s">
        <v>31</v>
      </c>
      <c r="B25" t="s">
        <v>131</v>
      </c>
      <c r="C25" t="s">
        <v>1112</v>
      </c>
      <c r="D25" t="s">
        <v>1121</v>
      </c>
      <c r="E25">
        <v>61.33</v>
      </c>
      <c r="F25">
        <v>367447</v>
      </c>
      <c r="G25" t="s">
        <v>1129</v>
      </c>
      <c r="H25" t="s">
        <v>1133</v>
      </c>
      <c r="I25">
        <v>98</v>
      </c>
      <c r="L25" t="str">
        <f t="shared" si="0"/>
        <v>student is pass</v>
      </c>
      <c r="N25" t="str">
        <f t="shared" si="1"/>
        <v>bad</v>
      </c>
    </row>
    <row r="26" spans="1:14" x14ac:dyDescent="0.25">
      <c r="A26" t="s">
        <v>32</v>
      </c>
      <c r="B26" t="s">
        <v>132</v>
      </c>
      <c r="C26" t="s">
        <v>1111</v>
      </c>
      <c r="D26" t="s">
        <v>1121</v>
      </c>
      <c r="E26">
        <v>81.06</v>
      </c>
      <c r="F26">
        <v>943455</v>
      </c>
      <c r="G26" t="s">
        <v>1130</v>
      </c>
      <c r="H26" t="s">
        <v>1134</v>
      </c>
      <c r="I26">
        <v>93</v>
      </c>
      <c r="L26" t="str">
        <f t="shared" si="0"/>
        <v>student is pass</v>
      </c>
      <c r="N26" t="str">
        <f t="shared" si="1"/>
        <v>bad</v>
      </c>
    </row>
    <row r="27" spans="1:14" x14ac:dyDescent="0.25">
      <c r="A27" t="s">
        <v>33</v>
      </c>
      <c r="B27" t="s">
        <v>133</v>
      </c>
      <c r="C27" t="s">
        <v>1113</v>
      </c>
      <c r="D27" t="s">
        <v>1123</v>
      </c>
      <c r="E27">
        <v>97.4</v>
      </c>
      <c r="F27">
        <v>931337</v>
      </c>
      <c r="G27" t="s">
        <v>1129</v>
      </c>
      <c r="H27" t="s">
        <v>1133</v>
      </c>
      <c r="I27">
        <v>95</v>
      </c>
      <c r="L27" t="str">
        <f t="shared" si="0"/>
        <v>student is fail</v>
      </c>
      <c r="N27" t="str">
        <f t="shared" si="1"/>
        <v>bad</v>
      </c>
    </row>
    <row r="28" spans="1:14" x14ac:dyDescent="0.25">
      <c r="A28" t="s">
        <v>34</v>
      </c>
      <c r="B28" t="s">
        <v>134</v>
      </c>
      <c r="C28" t="s">
        <v>1110</v>
      </c>
      <c r="D28" t="s">
        <v>1126</v>
      </c>
      <c r="E28">
        <v>86.66</v>
      </c>
      <c r="F28">
        <v>931071</v>
      </c>
      <c r="G28" t="s">
        <v>1132</v>
      </c>
      <c r="H28" t="s">
        <v>1133</v>
      </c>
      <c r="I28">
        <v>84</v>
      </c>
      <c r="L28" t="str">
        <f t="shared" si="0"/>
        <v>student is pass</v>
      </c>
      <c r="N28" t="str">
        <f t="shared" si="1"/>
        <v>bad</v>
      </c>
    </row>
    <row r="29" spans="1:14" x14ac:dyDescent="0.25">
      <c r="A29" t="s">
        <v>20</v>
      </c>
      <c r="B29" t="s">
        <v>135</v>
      </c>
      <c r="C29" t="s">
        <v>1113</v>
      </c>
      <c r="D29" t="s">
        <v>1125</v>
      </c>
      <c r="E29">
        <v>64.02</v>
      </c>
      <c r="F29">
        <v>405865</v>
      </c>
      <c r="G29" t="s">
        <v>1129</v>
      </c>
      <c r="H29" t="s">
        <v>1133</v>
      </c>
      <c r="I29">
        <v>83</v>
      </c>
      <c r="L29" t="str">
        <f t="shared" si="0"/>
        <v>student is fail</v>
      </c>
      <c r="N29" t="str">
        <f t="shared" si="1"/>
        <v>bad</v>
      </c>
    </row>
    <row r="30" spans="1:14" x14ac:dyDescent="0.25">
      <c r="A30" t="s">
        <v>35</v>
      </c>
      <c r="B30" t="s">
        <v>136</v>
      </c>
      <c r="C30" t="s">
        <v>1116</v>
      </c>
      <c r="D30" t="s">
        <v>1120</v>
      </c>
      <c r="E30">
        <v>72.48</v>
      </c>
      <c r="F30">
        <v>662068</v>
      </c>
      <c r="G30" t="s">
        <v>1130</v>
      </c>
      <c r="H30" t="s">
        <v>1134</v>
      </c>
      <c r="I30">
        <v>83</v>
      </c>
    </row>
    <row r="31" spans="1:14" x14ac:dyDescent="0.25">
      <c r="A31" t="s">
        <v>36</v>
      </c>
      <c r="B31" t="s">
        <v>137</v>
      </c>
      <c r="C31" t="s">
        <v>1116</v>
      </c>
      <c r="D31" t="s">
        <v>1122</v>
      </c>
      <c r="E31">
        <v>46.16</v>
      </c>
      <c r="F31">
        <v>151031</v>
      </c>
      <c r="G31" t="s">
        <v>1129</v>
      </c>
      <c r="H31" t="s">
        <v>1134</v>
      </c>
      <c r="I31">
        <v>83</v>
      </c>
    </row>
    <row r="32" spans="1:14" x14ac:dyDescent="0.25">
      <c r="A32" t="s">
        <v>37</v>
      </c>
      <c r="B32" t="s">
        <v>138</v>
      </c>
      <c r="C32" t="s">
        <v>1113</v>
      </c>
      <c r="D32" t="s">
        <v>1122</v>
      </c>
      <c r="E32">
        <v>70.709999999999994</v>
      </c>
      <c r="F32">
        <v>994905</v>
      </c>
      <c r="G32" t="s">
        <v>1132</v>
      </c>
      <c r="H32" t="s">
        <v>1133</v>
      </c>
      <c r="I32">
        <v>83</v>
      </c>
      <c r="K32" s="5" t="s">
        <v>1194</v>
      </c>
      <c r="L32" s="5" t="s">
        <v>1196</v>
      </c>
      <c r="N32" s="5" t="s">
        <v>1197</v>
      </c>
    </row>
    <row r="33" spans="1:15" x14ac:dyDescent="0.25">
      <c r="A33" t="s">
        <v>38</v>
      </c>
      <c r="B33" t="s">
        <v>139</v>
      </c>
      <c r="C33" t="s">
        <v>1110</v>
      </c>
      <c r="D33" t="s">
        <v>1119</v>
      </c>
      <c r="E33">
        <v>51.07</v>
      </c>
      <c r="F33">
        <v>161939</v>
      </c>
      <c r="G33" t="s">
        <v>1129</v>
      </c>
      <c r="H33" t="s">
        <v>1134</v>
      </c>
      <c r="I33">
        <v>84</v>
      </c>
      <c r="L33">
        <f>COUNTIF(G2:G201,M33)</f>
        <v>38</v>
      </c>
      <c r="M33" t="s">
        <v>1128</v>
      </c>
      <c r="N33">
        <f>SUMIF(G2:G111,O33,I2:I111)</f>
        <v>1936</v>
      </c>
      <c r="O33" t="s">
        <v>1128</v>
      </c>
    </row>
    <row r="34" spans="1:15" x14ac:dyDescent="0.25">
      <c r="A34" t="s">
        <v>39</v>
      </c>
      <c r="B34" t="s">
        <v>140</v>
      </c>
      <c r="C34" t="s">
        <v>1109</v>
      </c>
      <c r="D34" t="s">
        <v>1127</v>
      </c>
      <c r="E34">
        <v>68.36</v>
      </c>
      <c r="F34">
        <v>205699</v>
      </c>
      <c r="G34" t="s">
        <v>1129</v>
      </c>
      <c r="H34" t="s">
        <v>1133</v>
      </c>
      <c r="I34">
        <v>85</v>
      </c>
      <c r="L34">
        <f>COUNTIF(G2:G32,G15)</f>
        <v>5</v>
      </c>
      <c r="M34" t="s">
        <v>1132</v>
      </c>
      <c r="N34">
        <f>SUMIF(G2:G119,O34,I2:I119)</f>
        <v>2089</v>
      </c>
      <c r="O34" t="s">
        <v>1132</v>
      </c>
    </row>
    <row r="35" spans="1:15" x14ac:dyDescent="0.25">
      <c r="A35" t="s">
        <v>14</v>
      </c>
      <c r="B35" t="s">
        <v>141</v>
      </c>
      <c r="C35" t="s">
        <v>1116</v>
      </c>
      <c r="D35" t="s">
        <v>1120</v>
      </c>
      <c r="E35">
        <v>92.74</v>
      </c>
      <c r="F35">
        <v>865178</v>
      </c>
      <c r="G35" t="s">
        <v>1131</v>
      </c>
      <c r="H35" t="s">
        <v>1134</v>
      </c>
      <c r="I35">
        <v>86</v>
      </c>
      <c r="L35">
        <f>COUNTIF(G2:G51,G26)</f>
        <v>12</v>
      </c>
      <c r="M35" t="s">
        <v>1130</v>
      </c>
      <c r="N35">
        <f>SUMIF(G2:G136,O35,I2:I136)</f>
        <v>3496</v>
      </c>
      <c r="O35" t="s">
        <v>1130</v>
      </c>
    </row>
    <row r="36" spans="1:15" x14ac:dyDescent="0.25">
      <c r="A36" t="s">
        <v>8</v>
      </c>
      <c r="B36" t="s">
        <v>142</v>
      </c>
      <c r="C36" t="s">
        <v>1116</v>
      </c>
      <c r="D36" t="s">
        <v>1127</v>
      </c>
      <c r="E36">
        <v>39.51</v>
      </c>
      <c r="F36">
        <v>295544</v>
      </c>
      <c r="G36" t="s">
        <v>1131</v>
      </c>
      <c r="H36" t="s">
        <v>1133</v>
      </c>
      <c r="I36">
        <v>87</v>
      </c>
    </row>
    <row r="37" spans="1:15" x14ac:dyDescent="0.25">
      <c r="A37" t="s">
        <v>40</v>
      </c>
      <c r="B37" t="s">
        <v>143</v>
      </c>
      <c r="C37" t="s">
        <v>1113</v>
      </c>
      <c r="D37" t="s">
        <v>1121</v>
      </c>
      <c r="E37">
        <v>66.53</v>
      </c>
      <c r="F37">
        <v>417896</v>
      </c>
      <c r="G37" t="s">
        <v>1132</v>
      </c>
      <c r="H37" t="s">
        <v>1133</v>
      </c>
      <c r="I37">
        <v>88</v>
      </c>
    </row>
    <row r="38" spans="1:15" x14ac:dyDescent="0.25">
      <c r="A38" t="s">
        <v>41</v>
      </c>
      <c r="B38" t="s">
        <v>144</v>
      </c>
      <c r="C38" t="s">
        <v>1111</v>
      </c>
      <c r="D38" t="s">
        <v>1119</v>
      </c>
      <c r="E38">
        <v>52.25</v>
      </c>
      <c r="F38">
        <v>103310</v>
      </c>
      <c r="G38" t="s">
        <v>1132</v>
      </c>
      <c r="H38" t="s">
        <v>1133</v>
      </c>
      <c r="I38">
        <v>89</v>
      </c>
    </row>
    <row r="39" spans="1:15" x14ac:dyDescent="0.25">
      <c r="A39" t="s">
        <v>42</v>
      </c>
      <c r="B39" t="s">
        <v>145</v>
      </c>
      <c r="C39" t="s">
        <v>1117</v>
      </c>
      <c r="D39" t="s">
        <v>1123</v>
      </c>
      <c r="E39">
        <v>35.020000000000003</v>
      </c>
      <c r="F39">
        <v>929573</v>
      </c>
      <c r="G39" t="s">
        <v>1132</v>
      </c>
      <c r="H39" t="s">
        <v>1133</v>
      </c>
      <c r="I39">
        <v>90</v>
      </c>
    </row>
    <row r="40" spans="1:15" x14ac:dyDescent="0.25">
      <c r="A40" t="s">
        <v>43</v>
      </c>
      <c r="B40" t="s">
        <v>146</v>
      </c>
      <c r="C40" t="s">
        <v>1116</v>
      </c>
      <c r="D40" t="s">
        <v>1127</v>
      </c>
      <c r="E40">
        <v>44.07</v>
      </c>
      <c r="F40">
        <v>603781</v>
      </c>
      <c r="G40" t="s">
        <v>1129</v>
      </c>
      <c r="H40" t="s">
        <v>1134</v>
      </c>
      <c r="I40">
        <v>91</v>
      </c>
    </row>
    <row r="41" spans="1:15" x14ac:dyDescent="0.25">
      <c r="A41" t="s">
        <v>40</v>
      </c>
      <c r="B41" t="s">
        <v>147</v>
      </c>
      <c r="C41" t="s">
        <v>1113</v>
      </c>
      <c r="D41" t="s">
        <v>1126</v>
      </c>
      <c r="E41">
        <v>42.97</v>
      </c>
      <c r="F41">
        <v>706159</v>
      </c>
      <c r="G41" t="s">
        <v>1130</v>
      </c>
      <c r="H41" t="s">
        <v>1134</v>
      </c>
      <c r="I41">
        <v>92</v>
      </c>
    </row>
    <row r="42" spans="1:15" x14ac:dyDescent="0.25">
      <c r="A42" t="s">
        <v>44</v>
      </c>
      <c r="B42" t="s">
        <v>148</v>
      </c>
      <c r="C42" t="s">
        <v>1113</v>
      </c>
      <c r="D42" t="s">
        <v>1118</v>
      </c>
      <c r="E42">
        <v>68.78</v>
      </c>
      <c r="F42">
        <v>560110</v>
      </c>
      <c r="G42" t="s">
        <v>1128</v>
      </c>
      <c r="H42" t="s">
        <v>1133</v>
      </c>
      <c r="I42">
        <v>93</v>
      </c>
    </row>
    <row r="43" spans="1:15" x14ac:dyDescent="0.25">
      <c r="A43" t="s">
        <v>45</v>
      </c>
      <c r="B43" t="s">
        <v>149</v>
      </c>
      <c r="C43" t="s">
        <v>1110</v>
      </c>
      <c r="D43" t="s">
        <v>1118</v>
      </c>
      <c r="E43">
        <v>62.84</v>
      </c>
      <c r="F43">
        <v>819137</v>
      </c>
      <c r="G43" t="s">
        <v>1130</v>
      </c>
      <c r="H43" t="s">
        <v>1133</v>
      </c>
      <c r="I43">
        <v>94</v>
      </c>
    </row>
    <row r="44" spans="1:15" x14ac:dyDescent="0.25">
      <c r="A44" t="s">
        <v>46</v>
      </c>
      <c r="B44" t="s">
        <v>150</v>
      </c>
      <c r="C44" t="s">
        <v>1109</v>
      </c>
      <c r="D44" t="s">
        <v>1124</v>
      </c>
      <c r="E44">
        <v>53.64</v>
      </c>
      <c r="F44">
        <v>613329</v>
      </c>
      <c r="G44" t="s">
        <v>1131</v>
      </c>
      <c r="H44" t="s">
        <v>1133</v>
      </c>
      <c r="I44">
        <v>95</v>
      </c>
    </row>
    <row r="45" spans="1:15" x14ac:dyDescent="0.25">
      <c r="A45" t="s">
        <v>47</v>
      </c>
      <c r="B45" t="s">
        <v>151</v>
      </c>
      <c r="C45" t="s">
        <v>1116</v>
      </c>
      <c r="D45" t="s">
        <v>1118</v>
      </c>
      <c r="E45">
        <v>43.66</v>
      </c>
      <c r="F45">
        <v>577831</v>
      </c>
      <c r="G45" t="s">
        <v>1128</v>
      </c>
      <c r="H45" t="s">
        <v>1133</v>
      </c>
      <c r="I45">
        <v>96</v>
      </c>
    </row>
    <row r="46" spans="1:15" x14ac:dyDescent="0.25">
      <c r="A46" t="s">
        <v>48</v>
      </c>
      <c r="B46" t="s">
        <v>152</v>
      </c>
      <c r="C46" t="s">
        <v>1112</v>
      </c>
      <c r="D46" t="s">
        <v>1122</v>
      </c>
      <c r="E46">
        <v>96.48</v>
      </c>
      <c r="F46">
        <v>118937</v>
      </c>
      <c r="G46" t="s">
        <v>1130</v>
      </c>
      <c r="H46" t="s">
        <v>1133</v>
      </c>
      <c r="I46">
        <v>97</v>
      </c>
    </row>
    <row r="47" spans="1:15" x14ac:dyDescent="0.25">
      <c r="A47" t="s">
        <v>49</v>
      </c>
      <c r="B47" t="s">
        <v>153</v>
      </c>
      <c r="C47" t="s">
        <v>1114</v>
      </c>
      <c r="D47" t="s">
        <v>1119</v>
      </c>
      <c r="E47">
        <v>40.1</v>
      </c>
      <c r="F47">
        <v>355845</v>
      </c>
      <c r="G47" t="s">
        <v>1132</v>
      </c>
      <c r="H47" t="s">
        <v>1133</v>
      </c>
      <c r="I47">
        <v>98</v>
      </c>
    </row>
    <row r="48" spans="1:15" x14ac:dyDescent="0.25">
      <c r="A48" t="s">
        <v>31</v>
      </c>
      <c r="B48" t="s">
        <v>154</v>
      </c>
      <c r="C48" t="s">
        <v>1108</v>
      </c>
      <c r="D48" t="s">
        <v>1120</v>
      </c>
      <c r="E48">
        <v>54.43</v>
      </c>
      <c r="F48">
        <v>705242</v>
      </c>
      <c r="G48" t="s">
        <v>1128</v>
      </c>
      <c r="H48" t="s">
        <v>1133</v>
      </c>
      <c r="I48">
        <v>99</v>
      </c>
    </row>
    <row r="49" spans="1:9" x14ac:dyDescent="0.25">
      <c r="A49" t="s">
        <v>50</v>
      </c>
      <c r="B49" t="s">
        <v>155</v>
      </c>
      <c r="C49" t="s">
        <v>1111</v>
      </c>
      <c r="D49" t="s">
        <v>1126</v>
      </c>
      <c r="E49">
        <v>93.47</v>
      </c>
      <c r="F49">
        <v>968710</v>
      </c>
      <c r="G49" t="s">
        <v>1131</v>
      </c>
      <c r="H49" t="s">
        <v>1133</v>
      </c>
      <c r="I49">
        <v>100</v>
      </c>
    </row>
    <row r="50" spans="1:9" x14ac:dyDescent="0.25">
      <c r="A50" t="s">
        <v>19</v>
      </c>
      <c r="B50" t="s">
        <v>156</v>
      </c>
      <c r="C50" t="s">
        <v>1109</v>
      </c>
      <c r="D50" t="s">
        <v>1122</v>
      </c>
      <c r="E50">
        <v>80.17</v>
      </c>
      <c r="F50">
        <v>610624</v>
      </c>
      <c r="G50" t="s">
        <v>1129</v>
      </c>
      <c r="H50" t="s">
        <v>1133</v>
      </c>
      <c r="I50">
        <v>101</v>
      </c>
    </row>
    <row r="51" spans="1:9" x14ac:dyDescent="0.25">
      <c r="A51" t="s">
        <v>24</v>
      </c>
      <c r="B51" t="s">
        <v>157</v>
      </c>
      <c r="C51" t="s">
        <v>1115</v>
      </c>
      <c r="D51" t="s">
        <v>1124</v>
      </c>
      <c r="E51">
        <v>52.21</v>
      </c>
      <c r="F51">
        <v>259586</v>
      </c>
      <c r="G51" t="s">
        <v>1129</v>
      </c>
      <c r="H51" t="s">
        <v>1133</v>
      </c>
      <c r="I51">
        <v>102</v>
      </c>
    </row>
    <row r="52" spans="1:9" x14ac:dyDescent="0.25">
      <c r="A52" t="s">
        <v>51</v>
      </c>
      <c r="B52" t="s">
        <v>158</v>
      </c>
      <c r="C52" t="s">
        <v>1114</v>
      </c>
      <c r="D52" t="s">
        <v>1126</v>
      </c>
      <c r="E52">
        <v>52.26</v>
      </c>
      <c r="F52">
        <v>689916</v>
      </c>
      <c r="G52" t="s">
        <v>1129</v>
      </c>
      <c r="H52" t="s">
        <v>1133</v>
      </c>
      <c r="I52">
        <v>103</v>
      </c>
    </row>
    <row r="53" spans="1:9" x14ac:dyDescent="0.25">
      <c r="A53" t="s">
        <v>16</v>
      </c>
      <c r="B53" t="s">
        <v>159</v>
      </c>
      <c r="C53" t="s">
        <v>1117</v>
      </c>
      <c r="D53" t="s">
        <v>1127</v>
      </c>
      <c r="E53">
        <v>39.21</v>
      </c>
      <c r="F53">
        <v>305886</v>
      </c>
      <c r="G53" t="s">
        <v>1132</v>
      </c>
      <c r="H53" t="s">
        <v>1134</v>
      </c>
      <c r="I53">
        <v>104</v>
      </c>
    </row>
    <row r="54" spans="1:9" x14ac:dyDescent="0.25">
      <c r="A54" t="s">
        <v>22</v>
      </c>
      <c r="B54" t="s">
        <v>160</v>
      </c>
      <c r="C54" t="s">
        <v>1115</v>
      </c>
      <c r="D54" t="s">
        <v>1118</v>
      </c>
      <c r="E54">
        <v>72.260000000000005</v>
      </c>
      <c r="F54">
        <v>893745</v>
      </c>
      <c r="G54" t="s">
        <v>1129</v>
      </c>
      <c r="H54" t="s">
        <v>1133</v>
      </c>
      <c r="I54">
        <v>105</v>
      </c>
    </row>
    <row r="55" spans="1:9" x14ac:dyDescent="0.25">
      <c r="A55" t="s">
        <v>52</v>
      </c>
      <c r="B55" t="s">
        <v>161</v>
      </c>
      <c r="C55" t="s">
        <v>1116</v>
      </c>
      <c r="D55" t="s">
        <v>1123</v>
      </c>
      <c r="E55">
        <v>73.7</v>
      </c>
      <c r="F55">
        <v>446380</v>
      </c>
      <c r="G55" t="s">
        <v>1131</v>
      </c>
      <c r="H55" t="s">
        <v>1133</v>
      </c>
      <c r="I55">
        <v>106</v>
      </c>
    </row>
    <row r="56" spans="1:9" x14ac:dyDescent="0.25">
      <c r="A56" t="s">
        <v>18</v>
      </c>
      <c r="B56" t="s">
        <v>162</v>
      </c>
      <c r="C56" t="s">
        <v>1112</v>
      </c>
      <c r="D56" t="s">
        <v>1120</v>
      </c>
      <c r="E56">
        <v>54.02</v>
      </c>
      <c r="F56">
        <v>404144</v>
      </c>
      <c r="G56" t="s">
        <v>1130</v>
      </c>
      <c r="H56" t="s">
        <v>1134</v>
      </c>
      <c r="I56">
        <v>107</v>
      </c>
    </row>
    <row r="57" spans="1:9" x14ac:dyDescent="0.25">
      <c r="A57" t="s">
        <v>53</v>
      </c>
      <c r="B57" t="s">
        <v>163</v>
      </c>
      <c r="C57" t="s">
        <v>1111</v>
      </c>
      <c r="D57" t="s">
        <v>1118</v>
      </c>
      <c r="E57">
        <v>43.98</v>
      </c>
      <c r="F57">
        <v>260884</v>
      </c>
      <c r="G57" t="s">
        <v>1129</v>
      </c>
      <c r="H57" t="s">
        <v>1133</v>
      </c>
      <c r="I57">
        <v>108</v>
      </c>
    </row>
    <row r="58" spans="1:9" x14ac:dyDescent="0.25">
      <c r="A58" t="s">
        <v>46</v>
      </c>
      <c r="B58" t="s">
        <v>164</v>
      </c>
      <c r="C58" t="s">
        <v>1109</v>
      </c>
      <c r="D58" t="s">
        <v>1124</v>
      </c>
      <c r="E58">
        <v>89.78</v>
      </c>
      <c r="F58">
        <v>216608</v>
      </c>
      <c r="G58" t="s">
        <v>1128</v>
      </c>
      <c r="H58" t="s">
        <v>1133</v>
      </c>
      <c r="I58">
        <v>109</v>
      </c>
    </row>
    <row r="59" spans="1:9" x14ac:dyDescent="0.25">
      <c r="A59" t="s">
        <v>45</v>
      </c>
      <c r="B59" t="s">
        <v>165</v>
      </c>
      <c r="C59" t="s">
        <v>1115</v>
      </c>
      <c r="D59" t="s">
        <v>1122</v>
      </c>
      <c r="E59">
        <v>62.8</v>
      </c>
      <c r="F59">
        <v>886120</v>
      </c>
      <c r="G59" t="s">
        <v>1130</v>
      </c>
      <c r="H59" t="s">
        <v>1133</v>
      </c>
      <c r="I59">
        <v>110</v>
      </c>
    </row>
    <row r="60" spans="1:9" x14ac:dyDescent="0.25">
      <c r="A60" t="s">
        <v>27</v>
      </c>
      <c r="B60" t="s">
        <v>166</v>
      </c>
      <c r="C60" t="s">
        <v>1112</v>
      </c>
      <c r="D60" t="s">
        <v>1125</v>
      </c>
      <c r="E60">
        <v>97.75</v>
      </c>
      <c r="F60">
        <v>120410</v>
      </c>
      <c r="G60" t="s">
        <v>1131</v>
      </c>
      <c r="H60" t="s">
        <v>1133</v>
      </c>
      <c r="I60">
        <v>111</v>
      </c>
    </row>
    <row r="61" spans="1:9" x14ac:dyDescent="0.25">
      <c r="A61" t="s">
        <v>54</v>
      </c>
      <c r="B61" t="s">
        <v>167</v>
      </c>
      <c r="C61" t="s">
        <v>1108</v>
      </c>
      <c r="D61" t="s">
        <v>1121</v>
      </c>
      <c r="E61">
        <v>43.91</v>
      </c>
      <c r="F61">
        <v>394115</v>
      </c>
      <c r="G61" t="s">
        <v>1130</v>
      </c>
      <c r="H61" t="s">
        <v>1133</v>
      </c>
      <c r="I61">
        <v>112</v>
      </c>
    </row>
    <row r="62" spans="1:9" x14ac:dyDescent="0.25">
      <c r="A62" t="s">
        <v>25</v>
      </c>
      <c r="B62" t="s">
        <v>168</v>
      </c>
      <c r="C62" t="s">
        <v>1109</v>
      </c>
      <c r="D62" t="s">
        <v>1119</v>
      </c>
      <c r="E62">
        <v>70.75</v>
      </c>
      <c r="F62">
        <v>167305</v>
      </c>
      <c r="G62" t="s">
        <v>1132</v>
      </c>
      <c r="H62" t="s">
        <v>1133</v>
      </c>
      <c r="I62">
        <v>113</v>
      </c>
    </row>
    <row r="63" spans="1:9" x14ac:dyDescent="0.25">
      <c r="A63" t="s">
        <v>55</v>
      </c>
      <c r="B63" t="s">
        <v>169</v>
      </c>
      <c r="C63" t="s">
        <v>1109</v>
      </c>
      <c r="D63" t="s">
        <v>1124</v>
      </c>
      <c r="E63">
        <v>80.28</v>
      </c>
      <c r="F63">
        <v>263214</v>
      </c>
      <c r="G63" t="s">
        <v>1130</v>
      </c>
      <c r="H63" t="s">
        <v>1133</v>
      </c>
      <c r="I63">
        <v>114</v>
      </c>
    </row>
    <row r="64" spans="1:9" x14ac:dyDescent="0.25">
      <c r="A64" t="s">
        <v>45</v>
      </c>
      <c r="B64" t="s">
        <v>170</v>
      </c>
      <c r="C64" t="s">
        <v>1111</v>
      </c>
      <c r="D64" t="s">
        <v>1127</v>
      </c>
      <c r="E64">
        <v>37.47</v>
      </c>
      <c r="F64">
        <v>218475</v>
      </c>
      <c r="G64" t="s">
        <v>1129</v>
      </c>
      <c r="H64" t="s">
        <v>1133</v>
      </c>
      <c r="I64">
        <v>115</v>
      </c>
    </row>
    <row r="65" spans="1:9" x14ac:dyDescent="0.25">
      <c r="A65" t="s">
        <v>42</v>
      </c>
      <c r="B65" t="s">
        <v>171</v>
      </c>
      <c r="C65" t="s">
        <v>1111</v>
      </c>
      <c r="D65" t="s">
        <v>1127</v>
      </c>
      <c r="E65">
        <v>55.49</v>
      </c>
      <c r="F65">
        <v>253132</v>
      </c>
      <c r="G65" t="s">
        <v>1128</v>
      </c>
      <c r="H65" t="s">
        <v>1133</v>
      </c>
      <c r="I65">
        <v>116</v>
      </c>
    </row>
    <row r="66" spans="1:9" x14ac:dyDescent="0.25">
      <c r="A66" t="s">
        <v>22</v>
      </c>
      <c r="B66" t="s">
        <v>172</v>
      </c>
      <c r="C66" t="s">
        <v>1109</v>
      </c>
      <c r="D66" t="s">
        <v>1125</v>
      </c>
      <c r="E66">
        <v>90.57</v>
      </c>
      <c r="F66">
        <v>855439</v>
      </c>
      <c r="G66" t="s">
        <v>1128</v>
      </c>
      <c r="H66" t="s">
        <v>1133</v>
      </c>
      <c r="I66">
        <v>117</v>
      </c>
    </row>
    <row r="67" spans="1:9" x14ac:dyDescent="0.25">
      <c r="A67" t="s">
        <v>26</v>
      </c>
      <c r="B67" t="s">
        <v>173</v>
      </c>
      <c r="C67" t="s">
        <v>1116</v>
      </c>
      <c r="D67" t="s">
        <v>1123</v>
      </c>
      <c r="E67">
        <v>43.12</v>
      </c>
      <c r="F67">
        <v>911123</v>
      </c>
      <c r="G67" t="s">
        <v>1129</v>
      </c>
      <c r="H67" t="s">
        <v>1134</v>
      </c>
      <c r="I67">
        <v>118</v>
      </c>
    </row>
    <row r="68" spans="1:9" x14ac:dyDescent="0.25">
      <c r="A68" t="s">
        <v>56</v>
      </c>
      <c r="B68" t="s">
        <v>174</v>
      </c>
      <c r="C68" t="s">
        <v>1115</v>
      </c>
      <c r="D68" t="s">
        <v>1121</v>
      </c>
      <c r="E68">
        <v>93.47</v>
      </c>
      <c r="F68">
        <v>903123</v>
      </c>
      <c r="G68" t="s">
        <v>1130</v>
      </c>
      <c r="H68" t="s">
        <v>1133</v>
      </c>
      <c r="I68">
        <v>119</v>
      </c>
    </row>
    <row r="69" spans="1:9" x14ac:dyDescent="0.25">
      <c r="A69" t="s">
        <v>57</v>
      </c>
      <c r="B69" t="s">
        <v>175</v>
      </c>
      <c r="C69" t="s">
        <v>1115</v>
      </c>
      <c r="D69" t="s">
        <v>1123</v>
      </c>
      <c r="E69">
        <v>75.53</v>
      </c>
      <c r="F69">
        <v>437291</v>
      </c>
      <c r="G69" t="s">
        <v>1129</v>
      </c>
      <c r="H69" t="s">
        <v>1134</v>
      </c>
      <c r="I69">
        <v>120</v>
      </c>
    </row>
    <row r="70" spans="1:9" x14ac:dyDescent="0.25">
      <c r="A70" t="s">
        <v>38</v>
      </c>
      <c r="B70" t="s">
        <v>176</v>
      </c>
      <c r="C70" t="s">
        <v>1116</v>
      </c>
      <c r="D70" t="s">
        <v>1123</v>
      </c>
      <c r="E70">
        <v>65.64</v>
      </c>
      <c r="F70">
        <v>564985</v>
      </c>
      <c r="G70" t="s">
        <v>1131</v>
      </c>
      <c r="H70" t="s">
        <v>1133</v>
      </c>
      <c r="I70">
        <v>121</v>
      </c>
    </row>
    <row r="71" spans="1:9" x14ac:dyDescent="0.25">
      <c r="A71" t="s">
        <v>9</v>
      </c>
      <c r="B71" t="s">
        <v>177</v>
      </c>
      <c r="C71" t="s">
        <v>1109</v>
      </c>
      <c r="D71" t="s">
        <v>1126</v>
      </c>
      <c r="E71">
        <v>95.34</v>
      </c>
      <c r="F71">
        <v>709323</v>
      </c>
      <c r="G71" t="s">
        <v>1129</v>
      </c>
      <c r="H71" t="s">
        <v>1133</v>
      </c>
      <c r="I71">
        <v>122</v>
      </c>
    </row>
    <row r="72" spans="1:9" x14ac:dyDescent="0.25">
      <c r="A72" t="s">
        <v>54</v>
      </c>
      <c r="B72" t="s">
        <v>178</v>
      </c>
      <c r="C72" t="s">
        <v>1109</v>
      </c>
      <c r="D72" t="s">
        <v>1123</v>
      </c>
      <c r="E72">
        <v>43.31</v>
      </c>
      <c r="F72">
        <v>365459</v>
      </c>
      <c r="G72" t="s">
        <v>1131</v>
      </c>
      <c r="H72" t="s">
        <v>1133</v>
      </c>
      <c r="I72">
        <v>123</v>
      </c>
    </row>
    <row r="73" spans="1:9" x14ac:dyDescent="0.25">
      <c r="A73" t="s">
        <v>58</v>
      </c>
      <c r="B73" t="s">
        <v>179</v>
      </c>
      <c r="C73" t="s">
        <v>1109</v>
      </c>
      <c r="D73" t="s">
        <v>1127</v>
      </c>
      <c r="E73">
        <v>99.67</v>
      </c>
      <c r="F73">
        <v>584561</v>
      </c>
      <c r="G73" t="s">
        <v>1130</v>
      </c>
      <c r="H73" t="s">
        <v>1133</v>
      </c>
      <c r="I73">
        <v>124</v>
      </c>
    </row>
    <row r="74" spans="1:9" x14ac:dyDescent="0.25">
      <c r="A74" t="s">
        <v>59</v>
      </c>
      <c r="B74" t="s">
        <v>180</v>
      </c>
      <c r="C74" t="s">
        <v>1117</v>
      </c>
      <c r="D74" t="s">
        <v>1120</v>
      </c>
      <c r="E74">
        <v>63.15</v>
      </c>
      <c r="F74">
        <v>955011</v>
      </c>
      <c r="G74" t="s">
        <v>1130</v>
      </c>
      <c r="H74" t="s">
        <v>1133</v>
      </c>
      <c r="I74">
        <v>125</v>
      </c>
    </row>
    <row r="75" spans="1:9" x14ac:dyDescent="0.25">
      <c r="A75" t="s">
        <v>60</v>
      </c>
      <c r="B75" t="s">
        <v>181</v>
      </c>
      <c r="C75" t="s">
        <v>1113</v>
      </c>
      <c r="D75" t="s">
        <v>1119</v>
      </c>
      <c r="E75">
        <v>60.05</v>
      </c>
      <c r="F75">
        <v>266244</v>
      </c>
      <c r="G75" t="s">
        <v>1132</v>
      </c>
      <c r="H75" t="s">
        <v>1133</v>
      </c>
      <c r="I75">
        <v>126</v>
      </c>
    </row>
    <row r="76" spans="1:9" x14ac:dyDescent="0.25">
      <c r="A76" t="s">
        <v>26</v>
      </c>
      <c r="B76" t="s">
        <v>182</v>
      </c>
      <c r="C76" t="s">
        <v>1115</v>
      </c>
      <c r="D76" t="s">
        <v>1127</v>
      </c>
      <c r="E76">
        <v>49.28</v>
      </c>
      <c r="F76">
        <v>129405</v>
      </c>
      <c r="G76" t="s">
        <v>1130</v>
      </c>
      <c r="H76" t="s">
        <v>1133</v>
      </c>
      <c r="I76">
        <v>127</v>
      </c>
    </row>
    <row r="77" spans="1:9" x14ac:dyDescent="0.25">
      <c r="A77" t="s">
        <v>35</v>
      </c>
      <c r="B77" t="s">
        <v>183</v>
      </c>
      <c r="C77" t="s">
        <v>1110</v>
      </c>
      <c r="D77" t="s">
        <v>1125</v>
      </c>
      <c r="E77">
        <v>81.02</v>
      </c>
      <c r="F77">
        <v>794301</v>
      </c>
      <c r="G77" t="s">
        <v>1128</v>
      </c>
      <c r="H77" t="s">
        <v>1133</v>
      </c>
      <c r="I77">
        <v>128</v>
      </c>
    </row>
    <row r="78" spans="1:9" x14ac:dyDescent="0.25">
      <c r="A78" t="s">
        <v>20</v>
      </c>
      <c r="B78" t="s">
        <v>184</v>
      </c>
      <c r="C78" t="s">
        <v>1112</v>
      </c>
      <c r="D78" t="s">
        <v>1120</v>
      </c>
      <c r="E78">
        <v>81.56</v>
      </c>
      <c r="F78">
        <v>498731</v>
      </c>
      <c r="G78" t="s">
        <v>1131</v>
      </c>
      <c r="H78" t="s">
        <v>1133</v>
      </c>
      <c r="I78">
        <v>129</v>
      </c>
    </row>
    <row r="79" spans="1:9" x14ac:dyDescent="0.25">
      <c r="A79" t="s">
        <v>36</v>
      </c>
      <c r="B79" t="s">
        <v>185</v>
      </c>
      <c r="C79" t="s">
        <v>1116</v>
      </c>
      <c r="D79" t="s">
        <v>1121</v>
      </c>
      <c r="E79">
        <v>35.54</v>
      </c>
      <c r="F79">
        <v>192196</v>
      </c>
      <c r="G79" t="s">
        <v>1128</v>
      </c>
      <c r="H79" t="s">
        <v>1133</v>
      </c>
      <c r="I79">
        <v>130</v>
      </c>
    </row>
    <row r="80" spans="1:9" x14ac:dyDescent="0.25">
      <c r="A80" t="s">
        <v>61</v>
      </c>
      <c r="B80" t="s">
        <v>186</v>
      </c>
      <c r="C80" t="s">
        <v>1114</v>
      </c>
      <c r="D80" t="s">
        <v>1127</v>
      </c>
      <c r="E80">
        <v>83.3</v>
      </c>
      <c r="F80">
        <v>986631</v>
      </c>
      <c r="G80" t="s">
        <v>1131</v>
      </c>
      <c r="H80" t="s">
        <v>1133</v>
      </c>
      <c r="I80">
        <v>131</v>
      </c>
    </row>
    <row r="81" spans="1:9" x14ac:dyDescent="0.25">
      <c r="A81" t="s">
        <v>14</v>
      </c>
      <c r="B81" t="s">
        <v>187</v>
      </c>
      <c r="C81" t="s">
        <v>1108</v>
      </c>
      <c r="D81" t="s">
        <v>1121</v>
      </c>
      <c r="E81">
        <v>85.44</v>
      </c>
      <c r="F81">
        <v>491372</v>
      </c>
      <c r="G81" t="s">
        <v>1130</v>
      </c>
      <c r="H81" t="s">
        <v>1133</v>
      </c>
      <c r="I81">
        <v>132</v>
      </c>
    </row>
    <row r="82" spans="1:9" x14ac:dyDescent="0.25">
      <c r="A82" t="s">
        <v>41</v>
      </c>
      <c r="B82" t="s">
        <v>188</v>
      </c>
      <c r="C82" t="s">
        <v>1109</v>
      </c>
      <c r="D82" t="s">
        <v>1122</v>
      </c>
      <c r="E82">
        <v>63.59</v>
      </c>
      <c r="F82">
        <v>667799</v>
      </c>
      <c r="G82" t="s">
        <v>1130</v>
      </c>
      <c r="H82" t="s">
        <v>1134</v>
      </c>
      <c r="I82">
        <v>133</v>
      </c>
    </row>
    <row r="83" spans="1:9" x14ac:dyDescent="0.25">
      <c r="A83" t="s">
        <v>59</v>
      </c>
      <c r="B83" t="s">
        <v>189</v>
      </c>
      <c r="C83" t="s">
        <v>1115</v>
      </c>
      <c r="D83" t="s">
        <v>1122</v>
      </c>
      <c r="E83">
        <v>50.24</v>
      </c>
      <c r="F83">
        <v>902387</v>
      </c>
      <c r="G83" t="s">
        <v>1132</v>
      </c>
      <c r="H83" t="s">
        <v>1134</v>
      </c>
      <c r="I83">
        <v>134</v>
      </c>
    </row>
    <row r="84" spans="1:9" x14ac:dyDescent="0.25">
      <c r="A84" t="s">
        <v>62</v>
      </c>
      <c r="B84" t="s">
        <v>190</v>
      </c>
      <c r="C84" t="s">
        <v>1108</v>
      </c>
      <c r="D84" t="s">
        <v>1122</v>
      </c>
      <c r="E84">
        <v>84.74</v>
      </c>
      <c r="F84">
        <v>198339</v>
      </c>
      <c r="G84" t="s">
        <v>1129</v>
      </c>
      <c r="H84" t="s">
        <v>1133</v>
      </c>
      <c r="I84">
        <v>135</v>
      </c>
    </row>
    <row r="85" spans="1:9" x14ac:dyDescent="0.25">
      <c r="A85" t="s">
        <v>63</v>
      </c>
      <c r="B85" t="s">
        <v>191</v>
      </c>
      <c r="C85" t="s">
        <v>1115</v>
      </c>
      <c r="D85" t="s">
        <v>1118</v>
      </c>
      <c r="E85">
        <v>93.14</v>
      </c>
      <c r="F85">
        <v>749511</v>
      </c>
      <c r="G85" t="s">
        <v>1128</v>
      </c>
      <c r="H85" t="s">
        <v>1133</v>
      </c>
      <c r="I85">
        <v>136</v>
      </c>
    </row>
    <row r="86" spans="1:9" x14ac:dyDescent="0.25">
      <c r="A86" t="s">
        <v>64</v>
      </c>
      <c r="B86" t="s">
        <v>192</v>
      </c>
      <c r="C86" t="s">
        <v>1113</v>
      </c>
      <c r="D86" t="s">
        <v>1118</v>
      </c>
      <c r="E86">
        <v>40.26</v>
      </c>
      <c r="F86">
        <v>454694</v>
      </c>
      <c r="G86" t="s">
        <v>1131</v>
      </c>
      <c r="H86" t="s">
        <v>1133</v>
      </c>
      <c r="I86">
        <v>137</v>
      </c>
    </row>
    <row r="87" spans="1:9" x14ac:dyDescent="0.25">
      <c r="A87" t="s">
        <v>50</v>
      </c>
      <c r="B87" t="s">
        <v>193</v>
      </c>
      <c r="C87" t="s">
        <v>1109</v>
      </c>
      <c r="D87" t="s">
        <v>1127</v>
      </c>
      <c r="E87">
        <v>89.54</v>
      </c>
      <c r="F87">
        <v>704037</v>
      </c>
      <c r="G87" t="s">
        <v>1128</v>
      </c>
      <c r="H87" t="s">
        <v>1133</v>
      </c>
      <c r="I87">
        <v>138</v>
      </c>
    </row>
    <row r="88" spans="1:9" x14ac:dyDescent="0.25">
      <c r="A88" t="s">
        <v>39</v>
      </c>
      <c r="B88" t="s">
        <v>194</v>
      </c>
      <c r="C88" t="s">
        <v>1116</v>
      </c>
      <c r="D88" t="s">
        <v>1119</v>
      </c>
      <c r="E88">
        <v>60</v>
      </c>
      <c r="F88">
        <v>243371</v>
      </c>
      <c r="G88" t="s">
        <v>1132</v>
      </c>
      <c r="H88" t="s">
        <v>1133</v>
      </c>
      <c r="I88">
        <v>139</v>
      </c>
    </row>
    <row r="89" spans="1:9" x14ac:dyDescent="0.25">
      <c r="A89" t="s">
        <v>65</v>
      </c>
      <c r="B89" t="s">
        <v>195</v>
      </c>
      <c r="C89" t="s">
        <v>1109</v>
      </c>
      <c r="D89" t="s">
        <v>1122</v>
      </c>
      <c r="E89">
        <v>67.83</v>
      </c>
      <c r="F89">
        <v>670945</v>
      </c>
      <c r="G89" t="s">
        <v>1130</v>
      </c>
      <c r="H89" t="s">
        <v>1133</v>
      </c>
      <c r="I89">
        <v>140</v>
      </c>
    </row>
    <row r="90" spans="1:9" x14ac:dyDescent="0.25">
      <c r="A90" t="s">
        <v>66</v>
      </c>
      <c r="B90" t="s">
        <v>196</v>
      </c>
      <c r="C90" t="s">
        <v>1111</v>
      </c>
      <c r="D90" t="s">
        <v>1127</v>
      </c>
      <c r="E90">
        <v>83.55</v>
      </c>
      <c r="F90">
        <v>854042</v>
      </c>
      <c r="G90" t="s">
        <v>1130</v>
      </c>
      <c r="H90" t="s">
        <v>1133</v>
      </c>
      <c r="I90">
        <v>141</v>
      </c>
    </row>
    <row r="91" spans="1:9" x14ac:dyDescent="0.25">
      <c r="A91" t="s">
        <v>19</v>
      </c>
      <c r="B91" t="s">
        <v>197</v>
      </c>
      <c r="C91" t="s">
        <v>1117</v>
      </c>
      <c r="D91" t="s">
        <v>1127</v>
      </c>
      <c r="E91">
        <v>57.04</v>
      </c>
      <c r="F91">
        <v>459741</v>
      </c>
      <c r="G91" t="s">
        <v>1131</v>
      </c>
      <c r="H91" t="s">
        <v>1133</v>
      </c>
      <c r="I91">
        <v>142</v>
      </c>
    </row>
    <row r="92" spans="1:9" x14ac:dyDescent="0.25">
      <c r="A92" t="s">
        <v>19</v>
      </c>
      <c r="B92" t="s">
        <v>198</v>
      </c>
      <c r="C92" t="s">
        <v>1115</v>
      </c>
      <c r="D92" t="s">
        <v>1123</v>
      </c>
      <c r="E92">
        <v>46.78</v>
      </c>
      <c r="F92">
        <v>997079</v>
      </c>
      <c r="G92" t="s">
        <v>1130</v>
      </c>
      <c r="H92" t="s">
        <v>1134</v>
      </c>
      <c r="I92">
        <v>143</v>
      </c>
    </row>
    <row r="93" spans="1:9" x14ac:dyDescent="0.25">
      <c r="A93" t="s">
        <v>67</v>
      </c>
      <c r="B93" t="s">
        <v>199</v>
      </c>
      <c r="C93" t="s">
        <v>1112</v>
      </c>
      <c r="D93" t="s">
        <v>1125</v>
      </c>
      <c r="E93">
        <v>86.94</v>
      </c>
      <c r="F93">
        <v>316787</v>
      </c>
      <c r="G93" t="s">
        <v>1131</v>
      </c>
      <c r="H93" t="s">
        <v>1133</v>
      </c>
      <c r="I93">
        <v>144</v>
      </c>
    </row>
    <row r="94" spans="1:9" x14ac:dyDescent="0.25">
      <c r="A94" t="s">
        <v>10</v>
      </c>
      <c r="B94" t="s">
        <v>200</v>
      </c>
      <c r="C94" t="s">
        <v>1117</v>
      </c>
      <c r="D94" t="s">
        <v>1123</v>
      </c>
      <c r="E94">
        <v>37.11</v>
      </c>
      <c r="F94">
        <v>821804</v>
      </c>
      <c r="G94" t="s">
        <v>1131</v>
      </c>
      <c r="H94" t="s">
        <v>1133</v>
      </c>
      <c r="I94">
        <v>145</v>
      </c>
    </row>
    <row r="95" spans="1:9" x14ac:dyDescent="0.25">
      <c r="A95" t="s">
        <v>68</v>
      </c>
      <c r="B95" t="s">
        <v>201</v>
      </c>
      <c r="C95" t="s">
        <v>1114</v>
      </c>
      <c r="D95" t="s">
        <v>1120</v>
      </c>
      <c r="E95">
        <v>58.88</v>
      </c>
      <c r="F95">
        <v>187663</v>
      </c>
      <c r="G95" t="s">
        <v>1128</v>
      </c>
      <c r="H95" t="s">
        <v>1134</v>
      </c>
      <c r="I95">
        <v>146</v>
      </c>
    </row>
    <row r="96" spans="1:9" x14ac:dyDescent="0.25">
      <c r="A96" t="s">
        <v>25</v>
      </c>
      <c r="B96" t="s">
        <v>202</v>
      </c>
      <c r="C96" t="s">
        <v>1110</v>
      </c>
      <c r="D96" t="s">
        <v>1127</v>
      </c>
      <c r="E96">
        <v>44.83</v>
      </c>
      <c r="F96">
        <v>899967</v>
      </c>
      <c r="G96" t="s">
        <v>1131</v>
      </c>
      <c r="H96" t="s">
        <v>1133</v>
      </c>
      <c r="I96">
        <v>147</v>
      </c>
    </row>
    <row r="97" spans="1:9" x14ac:dyDescent="0.25">
      <c r="A97" t="s">
        <v>27</v>
      </c>
      <c r="B97" t="s">
        <v>203</v>
      </c>
      <c r="C97" t="s">
        <v>1117</v>
      </c>
      <c r="D97" t="s">
        <v>1119</v>
      </c>
      <c r="E97">
        <v>76.540000000000006</v>
      </c>
      <c r="F97">
        <v>235818</v>
      </c>
      <c r="G97" t="s">
        <v>1132</v>
      </c>
      <c r="H97" t="s">
        <v>1133</v>
      </c>
      <c r="I97">
        <v>148</v>
      </c>
    </row>
    <row r="98" spans="1:9" x14ac:dyDescent="0.25">
      <c r="A98" t="s">
        <v>69</v>
      </c>
      <c r="B98" t="s">
        <v>204</v>
      </c>
      <c r="C98" t="s">
        <v>1111</v>
      </c>
      <c r="D98" t="s">
        <v>1123</v>
      </c>
      <c r="E98">
        <v>73.11</v>
      </c>
      <c r="F98">
        <v>355846</v>
      </c>
      <c r="G98" t="s">
        <v>1132</v>
      </c>
      <c r="H98" t="s">
        <v>1134</v>
      </c>
      <c r="I98">
        <v>149</v>
      </c>
    </row>
    <row r="99" spans="1:9" x14ac:dyDescent="0.25">
      <c r="A99" t="s">
        <v>47</v>
      </c>
      <c r="B99" t="s">
        <v>205</v>
      </c>
      <c r="C99" t="s">
        <v>1110</v>
      </c>
      <c r="D99" t="s">
        <v>1125</v>
      </c>
      <c r="E99">
        <v>35.58</v>
      </c>
      <c r="F99">
        <v>681445</v>
      </c>
      <c r="G99" t="s">
        <v>1130</v>
      </c>
      <c r="H99" t="s">
        <v>1134</v>
      </c>
      <c r="I99">
        <v>150</v>
      </c>
    </row>
    <row r="100" spans="1:9" x14ac:dyDescent="0.25">
      <c r="A100" t="s">
        <v>58</v>
      </c>
      <c r="B100" t="s">
        <v>206</v>
      </c>
      <c r="C100" t="s">
        <v>1117</v>
      </c>
      <c r="D100" t="s">
        <v>1119</v>
      </c>
      <c r="E100">
        <v>40.06</v>
      </c>
      <c r="F100">
        <v>555584</v>
      </c>
      <c r="G100" t="s">
        <v>1130</v>
      </c>
      <c r="H100" t="s">
        <v>1133</v>
      </c>
      <c r="I100">
        <v>151</v>
      </c>
    </row>
    <row r="101" spans="1:9" x14ac:dyDescent="0.25">
      <c r="A101" t="s">
        <v>68</v>
      </c>
      <c r="B101" t="s">
        <v>207</v>
      </c>
      <c r="C101" t="s">
        <v>1116</v>
      </c>
      <c r="D101" t="s">
        <v>1119</v>
      </c>
      <c r="E101">
        <v>39.06</v>
      </c>
      <c r="F101">
        <v>858447</v>
      </c>
      <c r="G101" t="s">
        <v>1132</v>
      </c>
      <c r="H101" t="s">
        <v>1134</v>
      </c>
      <c r="I101">
        <v>152</v>
      </c>
    </row>
    <row r="102" spans="1:9" x14ac:dyDescent="0.25">
      <c r="A102" t="s">
        <v>70</v>
      </c>
      <c r="B102" t="s">
        <v>208</v>
      </c>
      <c r="C102" t="s">
        <v>1113</v>
      </c>
      <c r="D102" t="s">
        <v>1118</v>
      </c>
      <c r="E102">
        <v>70.59</v>
      </c>
      <c r="F102">
        <v>345053</v>
      </c>
      <c r="G102" t="s">
        <v>1130</v>
      </c>
      <c r="H102" t="s">
        <v>1134</v>
      </c>
      <c r="I102">
        <v>153</v>
      </c>
    </row>
    <row r="103" spans="1:9" x14ac:dyDescent="0.25">
      <c r="A103" t="s">
        <v>71</v>
      </c>
      <c r="B103" t="s">
        <v>209</v>
      </c>
      <c r="C103" t="s">
        <v>1109</v>
      </c>
      <c r="D103" t="s">
        <v>1125</v>
      </c>
      <c r="E103">
        <v>66.59</v>
      </c>
      <c r="F103">
        <v>556119</v>
      </c>
      <c r="G103" t="s">
        <v>1131</v>
      </c>
      <c r="H103" t="s">
        <v>1133</v>
      </c>
      <c r="I103">
        <v>154</v>
      </c>
    </row>
    <row r="104" spans="1:9" x14ac:dyDescent="0.25">
      <c r="A104" t="s">
        <v>67</v>
      </c>
      <c r="B104" t="s">
        <v>210</v>
      </c>
      <c r="C104" t="s">
        <v>1112</v>
      </c>
      <c r="D104" t="s">
        <v>1124</v>
      </c>
      <c r="E104">
        <v>42.47</v>
      </c>
      <c r="F104">
        <v>862916</v>
      </c>
      <c r="G104" t="s">
        <v>1129</v>
      </c>
      <c r="H104" t="s">
        <v>1133</v>
      </c>
      <c r="I104">
        <v>155</v>
      </c>
    </row>
    <row r="105" spans="1:9" x14ac:dyDescent="0.25">
      <c r="A105" t="s">
        <v>59</v>
      </c>
      <c r="B105" t="s">
        <v>211</v>
      </c>
      <c r="C105" t="s">
        <v>1109</v>
      </c>
      <c r="D105" t="s">
        <v>1123</v>
      </c>
      <c r="E105">
        <v>73.099999999999994</v>
      </c>
      <c r="F105">
        <v>674978</v>
      </c>
      <c r="G105" t="s">
        <v>1131</v>
      </c>
      <c r="H105" t="s">
        <v>1133</v>
      </c>
      <c r="I105">
        <v>156</v>
      </c>
    </row>
    <row r="106" spans="1:9" x14ac:dyDescent="0.25">
      <c r="A106" t="s">
        <v>50</v>
      </c>
      <c r="B106" t="s">
        <v>212</v>
      </c>
      <c r="C106" t="s">
        <v>1115</v>
      </c>
      <c r="D106" t="s">
        <v>1122</v>
      </c>
      <c r="E106">
        <v>65.7</v>
      </c>
      <c r="F106">
        <v>585823</v>
      </c>
      <c r="G106" t="s">
        <v>1130</v>
      </c>
      <c r="H106" t="s">
        <v>1133</v>
      </c>
      <c r="I106">
        <v>157</v>
      </c>
    </row>
    <row r="107" spans="1:9" x14ac:dyDescent="0.25">
      <c r="A107" t="s">
        <v>20</v>
      </c>
      <c r="B107" t="s">
        <v>213</v>
      </c>
      <c r="C107" t="s">
        <v>1117</v>
      </c>
      <c r="D107" t="s">
        <v>1126</v>
      </c>
      <c r="E107">
        <v>63.53</v>
      </c>
      <c r="F107">
        <v>405299</v>
      </c>
      <c r="G107" t="s">
        <v>1128</v>
      </c>
      <c r="H107" t="s">
        <v>1133</v>
      </c>
      <c r="I107">
        <v>158</v>
      </c>
    </row>
    <row r="108" spans="1:9" x14ac:dyDescent="0.25">
      <c r="A108" t="s">
        <v>8</v>
      </c>
      <c r="B108" t="s">
        <v>214</v>
      </c>
      <c r="C108" t="s">
        <v>1116</v>
      </c>
      <c r="D108" t="s">
        <v>1121</v>
      </c>
      <c r="E108">
        <v>61.82</v>
      </c>
      <c r="F108">
        <v>192950</v>
      </c>
      <c r="G108" t="s">
        <v>1128</v>
      </c>
      <c r="H108" t="s">
        <v>1134</v>
      </c>
      <c r="I108">
        <v>159</v>
      </c>
    </row>
    <row r="109" spans="1:9" x14ac:dyDescent="0.25">
      <c r="A109" t="s">
        <v>32</v>
      </c>
      <c r="B109" t="s">
        <v>215</v>
      </c>
      <c r="C109" t="s">
        <v>1113</v>
      </c>
      <c r="D109" t="s">
        <v>1122</v>
      </c>
      <c r="E109">
        <v>39.81</v>
      </c>
      <c r="F109">
        <v>775482</v>
      </c>
      <c r="G109" t="s">
        <v>1129</v>
      </c>
      <c r="H109" t="s">
        <v>1133</v>
      </c>
      <c r="I109">
        <v>160</v>
      </c>
    </row>
    <row r="110" spans="1:9" x14ac:dyDescent="0.25">
      <c r="A110" t="s">
        <v>72</v>
      </c>
      <c r="B110" t="s">
        <v>216</v>
      </c>
      <c r="C110" t="s">
        <v>1108</v>
      </c>
      <c r="D110" t="s">
        <v>1122</v>
      </c>
      <c r="E110">
        <v>75.03</v>
      </c>
      <c r="F110">
        <v>292138</v>
      </c>
      <c r="G110" t="s">
        <v>1130</v>
      </c>
      <c r="H110" t="s">
        <v>1134</v>
      </c>
      <c r="I110">
        <v>161</v>
      </c>
    </row>
    <row r="111" spans="1:9" x14ac:dyDescent="0.25">
      <c r="A111" t="s">
        <v>31</v>
      </c>
      <c r="B111" t="s">
        <v>217</v>
      </c>
      <c r="C111" t="s">
        <v>1109</v>
      </c>
      <c r="D111" t="s">
        <v>1121</v>
      </c>
      <c r="E111">
        <v>77.98</v>
      </c>
      <c r="F111">
        <v>232735</v>
      </c>
      <c r="G111" t="s">
        <v>1130</v>
      </c>
      <c r="H111" t="s">
        <v>1133</v>
      </c>
      <c r="I111">
        <v>162</v>
      </c>
    </row>
    <row r="112" spans="1:9" x14ac:dyDescent="0.25">
      <c r="A112" t="s">
        <v>36</v>
      </c>
      <c r="B112" t="s">
        <v>218</v>
      </c>
      <c r="C112" t="s">
        <v>1117</v>
      </c>
      <c r="D112" t="s">
        <v>1127</v>
      </c>
      <c r="E112">
        <v>95.81</v>
      </c>
      <c r="F112">
        <v>624076</v>
      </c>
      <c r="G112" t="s">
        <v>1129</v>
      </c>
      <c r="H112" t="s">
        <v>1133</v>
      </c>
      <c r="I112">
        <v>163</v>
      </c>
    </row>
    <row r="113" spans="1:9" x14ac:dyDescent="0.25">
      <c r="A113" t="s">
        <v>25</v>
      </c>
      <c r="B113" t="s">
        <v>219</v>
      </c>
      <c r="C113" t="s">
        <v>1108</v>
      </c>
      <c r="D113" t="s">
        <v>1121</v>
      </c>
      <c r="E113">
        <v>48.85</v>
      </c>
      <c r="F113">
        <v>720171</v>
      </c>
      <c r="G113" t="s">
        <v>1129</v>
      </c>
      <c r="H113" t="s">
        <v>1133</v>
      </c>
      <c r="I113">
        <v>164</v>
      </c>
    </row>
    <row r="114" spans="1:9" x14ac:dyDescent="0.25">
      <c r="A114" t="s">
        <v>17</v>
      </c>
      <c r="B114" t="s">
        <v>220</v>
      </c>
      <c r="C114" t="s">
        <v>1115</v>
      </c>
      <c r="D114" t="s">
        <v>1120</v>
      </c>
      <c r="E114">
        <v>38.96</v>
      </c>
      <c r="F114">
        <v>527494</v>
      </c>
      <c r="G114" t="s">
        <v>1132</v>
      </c>
      <c r="H114" t="s">
        <v>1133</v>
      </c>
      <c r="I114">
        <v>165</v>
      </c>
    </row>
    <row r="115" spans="1:9" x14ac:dyDescent="0.25">
      <c r="A115" t="s">
        <v>73</v>
      </c>
      <c r="B115" t="s">
        <v>221</v>
      </c>
      <c r="C115" t="s">
        <v>1113</v>
      </c>
      <c r="D115" t="s">
        <v>1121</v>
      </c>
      <c r="E115">
        <v>63.6</v>
      </c>
      <c r="F115">
        <v>707521</v>
      </c>
      <c r="G115" t="s">
        <v>1132</v>
      </c>
      <c r="H115" t="s">
        <v>1134</v>
      </c>
      <c r="I115">
        <v>166</v>
      </c>
    </row>
    <row r="116" spans="1:9" x14ac:dyDescent="0.25">
      <c r="A116" t="s">
        <v>55</v>
      </c>
      <c r="B116" t="s">
        <v>222</v>
      </c>
      <c r="C116" t="s">
        <v>1109</v>
      </c>
      <c r="D116" t="s">
        <v>1126</v>
      </c>
      <c r="E116">
        <v>62.95</v>
      </c>
      <c r="F116">
        <v>784159</v>
      </c>
      <c r="G116" t="s">
        <v>1128</v>
      </c>
      <c r="H116" t="s">
        <v>1133</v>
      </c>
      <c r="I116">
        <v>167</v>
      </c>
    </row>
    <row r="117" spans="1:9" x14ac:dyDescent="0.25">
      <c r="A117" t="s">
        <v>21</v>
      </c>
      <c r="B117" t="s">
        <v>223</v>
      </c>
      <c r="C117" t="s">
        <v>1111</v>
      </c>
      <c r="D117" t="s">
        <v>1118</v>
      </c>
      <c r="E117">
        <v>76.989999999999995</v>
      </c>
      <c r="F117">
        <v>370674</v>
      </c>
      <c r="G117" t="s">
        <v>1129</v>
      </c>
      <c r="H117" t="s">
        <v>1133</v>
      </c>
      <c r="I117">
        <v>168</v>
      </c>
    </row>
    <row r="118" spans="1:9" x14ac:dyDescent="0.25">
      <c r="A118" t="s">
        <v>51</v>
      </c>
      <c r="B118" t="s">
        <v>224</v>
      </c>
      <c r="C118" t="s">
        <v>1111</v>
      </c>
      <c r="D118" t="s">
        <v>1122</v>
      </c>
      <c r="E118">
        <v>91.65</v>
      </c>
      <c r="F118">
        <v>693851</v>
      </c>
      <c r="G118" t="s">
        <v>1128</v>
      </c>
      <c r="H118" t="s">
        <v>1133</v>
      </c>
      <c r="I118">
        <v>169</v>
      </c>
    </row>
    <row r="119" spans="1:9" x14ac:dyDescent="0.25">
      <c r="A119" t="s">
        <v>66</v>
      </c>
      <c r="B119" t="s">
        <v>225</v>
      </c>
      <c r="C119" t="s">
        <v>1108</v>
      </c>
      <c r="D119" t="s">
        <v>1126</v>
      </c>
      <c r="E119">
        <v>75.72</v>
      </c>
      <c r="F119">
        <v>989706</v>
      </c>
      <c r="G119" t="s">
        <v>1129</v>
      </c>
      <c r="H119" t="s">
        <v>1134</v>
      </c>
      <c r="I119">
        <v>170</v>
      </c>
    </row>
    <row r="120" spans="1:9" x14ac:dyDescent="0.25">
      <c r="A120" t="s">
        <v>32</v>
      </c>
      <c r="B120" t="s">
        <v>226</v>
      </c>
      <c r="C120" t="s">
        <v>1116</v>
      </c>
      <c r="D120" t="s">
        <v>1119</v>
      </c>
      <c r="E120">
        <v>39.86</v>
      </c>
      <c r="F120">
        <v>800854</v>
      </c>
      <c r="G120" t="s">
        <v>1132</v>
      </c>
      <c r="H120" t="s">
        <v>1134</v>
      </c>
      <c r="I120">
        <v>171</v>
      </c>
    </row>
    <row r="121" spans="1:9" x14ac:dyDescent="0.25">
      <c r="A121" t="s">
        <v>74</v>
      </c>
      <c r="B121" t="s">
        <v>227</v>
      </c>
      <c r="C121" t="s">
        <v>1114</v>
      </c>
      <c r="D121" t="s">
        <v>1122</v>
      </c>
      <c r="E121">
        <v>87.22</v>
      </c>
      <c r="F121">
        <v>479638</v>
      </c>
      <c r="G121" t="s">
        <v>1128</v>
      </c>
      <c r="H121" t="s">
        <v>1133</v>
      </c>
      <c r="I121">
        <v>172</v>
      </c>
    </row>
    <row r="122" spans="1:9" x14ac:dyDescent="0.25">
      <c r="A122" t="s">
        <v>45</v>
      </c>
      <c r="B122" t="s">
        <v>228</v>
      </c>
      <c r="C122" t="s">
        <v>1108</v>
      </c>
      <c r="D122" t="s">
        <v>1122</v>
      </c>
      <c r="E122">
        <v>78.540000000000006</v>
      </c>
      <c r="F122">
        <v>608362</v>
      </c>
      <c r="G122" t="s">
        <v>1132</v>
      </c>
      <c r="H122" t="s">
        <v>1134</v>
      </c>
      <c r="I122">
        <v>173</v>
      </c>
    </row>
    <row r="123" spans="1:9" x14ac:dyDescent="0.25">
      <c r="A123" t="s">
        <v>52</v>
      </c>
      <c r="B123" t="s">
        <v>229</v>
      </c>
      <c r="C123" t="s">
        <v>1116</v>
      </c>
      <c r="D123" t="s">
        <v>1119</v>
      </c>
      <c r="E123">
        <v>43.57</v>
      </c>
      <c r="F123">
        <v>902802</v>
      </c>
      <c r="G123" t="s">
        <v>1131</v>
      </c>
      <c r="H123" t="s">
        <v>1133</v>
      </c>
      <c r="I123">
        <v>174</v>
      </c>
    </row>
    <row r="124" spans="1:9" x14ac:dyDescent="0.25">
      <c r="A124" t="s">
        <v>8</v>
      </c>
      <c r="B124" t="s">
        <v>230</v>
      </c>
      <c r="C124" t="s">
        <v>1114</v>
      </c>
      <c r="D124" t="s">
        <v>1121</v>
      </c>
      <c r="E124">
        <v>87.9</v>
      </c>
      <c r="F124">
        <v>485754</v>
      </c>
      <c r="G124" t="s">
        <v>1128</v>
      </c>
      <c r="H124" t="s">
        <v>1133</v>
      </c>
      <c r="I124">
        <v>175</v>
      </c>
    </row>
    <row r="125" spans="1:9" x14ac:dyDescent="0.25">
      <c r="A125" t="s">
        <v>59</v>
      </c>
      <c r="B125" t="s">
        <v>231</v>
      </c>
      <c r="C125" t="s">
        <v>1110</v>
      </c>
      <c r="D125" t="s">
        <v>1122</v>
      </c>
      <c r="E125">
        <v>57.21</v>
      </c>
      <c r="F125">
        <v>105963</v>
      </c>
      <c r="G125" t="s">
        <v>1129</v>
      </c>
      <c r="H125" t="s">
        <v>1133</v>
      </c>
      <c r="I125">
        <v>176</v>
      </c>
    </row>
    <row r="126" spans="1:9" x14ac:dyDescent="0.25">
      <c r="A126" t="s">
        <v>70</v>
      </c>
      <c r="B126" t="s">
        <v>232</v>
      </c>
      <c r="C126" t="s">
        <v>1113</v>
      </c>
      <c r="D126" t="s">
        <v>1119</v>
      </c>
      <c r="E126">
        <v>44.59</v>
      </c>
      <c r="F126">
        <v>326598</v>
      </c>
      <c r="G126" t="s">
        <v>1130</v>
      </c>
      <c r="H126" t="s">
        <v>1133</v>
      </c>
      <c r="I126">
        <v>177</v>
      </c>
    </row>
    <row r="127" spans="1:9" x14ac:dyDescent="0.25">
      <c r="A127" t="s">
        <v>75</v>
      </c>
      <c r="B127" t="s">
        <v>233</v>
      </c>
      <c r="C127" t="s">
        <v>1116</v>
      </c>
      <c r="D127" t="s">
        <v>1127</v>
      </c>
      <c r="E127">
        <v>95.67</v>
      </c>
      <c r="F127">
        <v>986117</v>
      </c>
      <c r="G127" t="s">
        <v>1128</v>
      </c>
      <c r="H127" t="s">
        <v>1133</v>
      </c>
      <c r="I127">
        <v>178</v>
      </c>
    </row>
    <row r="128" spans="1:9" x14ac:dyDescent="0.25">
      <c r="A128" t="s">
        <v>41</v>
      </c>
      <c r="B128" t="s">
        <v>234</v>
      </c>
      <c r="C128" t="s">
        <v>1115</v>
      </c>
      <c r="D128" t="s">
        <v>1118</v>
      </c>
      <c r="E128">
        <v>59.1</v>
      </c>
      <c r="F128">
        <v>876507</v>
      </c>
      <c r="G128" t="s">
        <v>1128</v>
      </c>
      <c r="H128" t="s">
        <v>1134</v>
      </c>
      <c r="I128">
        <v>179</v>
      </c>
    </row>
    <row r="129" spans="1:9" x14ac:dyDescent="0.25">
      <c r="A129" t="s">
        <v>72</v>
      </c>
      <c r="B129" t="s">
        <v>235</v>
      </c>
      <c r="C129" t="s">
        <v>1114</v>
      </c>
      <c r="D129" t="s">
        <v>1119</v>
      </c>
      <c r="E129">
        <v>39.82</v>
      </c>
      <c r="F129">
        <v>854039</v>
      </c>
      <c r="G129" t="s">
        <v>1132</v>
      </c>
      <c r="H129" t="s">
        <v>1133</v>
      </c>
      <c r="I129">
        <v>180</v>
      </c>
    </row>
    <row r="130" spans="1:9" x14ac:dyDescent="0.25">
      <c r="A130" t="s">
        <v>70</v>
      </c>
      <c r="B130" t="s">
        <v>236</v>
      </c>
      <c r="C130" t="s">
        <v>1112</v>
      </c>
      <c r="D130" t="s">
        <v>1120</v>
      </c>
      <c r="E130">
        <v>42.86</v>
      </c>
      <c r="F130">
        <v>726931</v>
      </c>
      <c r="G130" t="s">
        <v>1131</v>
      </c>
      <c r="H130" t="s">
        <v>1133</v>
      </c>
      <c r="I130">
        <v>181</v>
      </c>
    </row>
    <row r="131" spans="1:9" x14ac:dyDescent="0.25">
      <c r="A131" t="s">
        <v>19</v>
      </c>
      <c r="B131" t="s">
        <v>237</v>
      </c>
      <c r="C131" t="s">
        <v>1108</v>
      </c>
      <c r="D131" t="s">
        <v>1120</v>
      </c>
      <c r="E131">
        <v>76.010000000000005</v>
      </c>
      <c r="F131">
        <v>946358</v>
      </c>
      <c r="G131" t="s">
        <v>1129</v>
      </c>
      <c r="H131" t="s">
        <v>1133</v>
      </c>
      <c r="I131">
        <v>182</v>
      </c>
    </row>
    <row r="132" spans="1:9" x14ac:dyDescent="0.25">
      <c r="A132" t="s">
        <v>41</v>
      </c>
      <c r="B132" t="s">
        <v>238</v>
      </c>
      <c r="C132" t="s">
        <v>1113</v>
      </c>
      <c r="D132" t="s">
        <v>1118</v>
      </c>
      <c r="E132">
        <v>35.85</v>
      </c>
      <c r="F132">
        <v>534455</v>
      </c>
      <c r="G132" t="s">
        <v>1129</v>
      </c>
      <c r="H132" t="s">
        <v>1133</v>
      </c>
      <c r="I132">
        <v>183</v>
      </c>
    </row>
    <row r="133" spans="1:9" x14ac:dyDescent="0.25">
      <c r="A133" t="s">
        <v>76</v>
      </c>
      <c r="B133" t="s">
        <v>239</v>
      </c>
      <c r="C133" t="s">
        <v>1116</v>
      </c>
      <c r="D133" t="s">
        <v>1124</v>
      </c>
      <c r="E133">
        <v>84.15</v>
      </c>
      <c r="F133">
        <v>805424</v>
      </c>
      <c r="G133" t="s">
        <v>1132</v>
      </c>
      <c r="H133" t="s">
        <v>1133</v>
      </c>
      <c r="I133">
        <v>184</v>
      </c>
    </row>
    <row r="134" spans="1:9" x14ac:dyDescent="0.25">
      <c r="A134" t="s">
        <v>56</v>
      </c>
      <c r="B134" t="s">
        <v>240</v>
      </c>
      <c r="C134" t="s">
        <v>1116</v>
      </c>
      <c r="D134" t="s">
        <v>1123</v>
      </c>
      <c r="E134">
        <v>85.88</v>
      </c>
      <c r="F134">
        <v>695604</v>
      </c>
      <c r="G134" t="s">
        <v>1129</v>
      </c>
      <c r="H134" t="s">
        <v>1133</v>
      </c>
      <c r="I134">
        <v>185</v>
      </c>
    </row>
    <row r="135" spans="1:9" x14ac:dyDescent="0.25">
      <c r="A135" t="s">
        <v>77</v>
      </c>
      <c r="B135" t="s">
        <v>241</v>
      </c>
      <c r="C135" t="s">
        <v>1117</v>
      </c>
      <c r="D135" t="s">
        <v>1122</v>
      </c>
      <c r="E135">
        <v>49.01</v>
      </c>
      <c r="F135">
        <v>798294</v>
      </c>
      <c r="G135" t="s">
        <v>1132</v>
      </c>
      <c r="H135" t="s">
        <v>1133</v>
      </c>
      <c r="I135">
        <v>186</v>
      </c>
    </row>
    <row r="136" spans="1:9" x14ac:dyDescent="0.25">
      <c r="A136" t="s">
        <v>12</v>
      </c>
      <c r="B136" t="s">
        <v>242</v>
      </c>
      <c r="C136" t="s">
        <v>1110</v>
      </c>
      <c r="D136" t="s">
        <v>1127</v>
      </c>
      <c r="E136">
        <v>53.58</v>
      </c>
      <c r="F136">
        <v>585367</v>
      </c>
      <c r="G136" t="s">
        <v>1132</v>
      </c>
      <c r="H136" t="s">
        <v>1133</v>
      </c>
      <c r="I136">
        <v>187</v>
      </c>
    </row>
    <row r="137" spans="1:9" x14ac:dyDescent="0.25">
      <c r="A137" t="s">
        <v>13</v>
      </c>
      <c r="B137" t="s">
        <v>243</v>
      </c>
      <c r="C137" t="s">
        <v>1109</v>
      </c>
      <c r="D137" t="s">
        <v>1121</v>
      </c>
      <c r="E137">
        <v>77.59</v>
      </c>
      <c r="F137">
        <v>591421</v>
      </c>
      <c r="G137" t="s">
        <v>1131</v>
      </c>
      <c r="H137" t="s">
        <v>1133</v>
      </c>
      <c r="I137">
        <v>188</v>
      </c>
    </row>
    <row r="138" spans="1:9" x14ac:dyDescent="0.25">
      <c r="A138" t="s">
        <v>45</v>
      </c>
      <c r="B138" t="s">
        <v>244</v>
      </c>
      <c r="C138" t="s">
        <v>1111</v>
      </c>
      <c r="D138" t="s">
        <v>1120</v>
      </c>
      <c r="E138">
        <v>78.67</v>
      </c>
      <c r="F138">
        <v>871578</v>
      </c>
      <c r="G138" t="s">
        <v>1128</v>
      </c>
      <c r="H138" t="s">
        <v>1133</v>
      </c>
      <c r="I138">
        <v>189</v>
      </c>
    </row>
    <row r="139" spans="1:9" x14ac:dyDescent="0.25">
      <c r="A139" t="s">
        <v>17</v>
      </c>
      <c r="B139" t="s">
        <v>245</v>
      </c>
      <c r="C139" t="s">
        <v>1115</v>
      </c>
      <c r="D139" t="s">
        <v>1126</v>
      </c>
      <c r="E139">
        <v>71.7</v>
      </c>
      <c r="F139">
        <v>280498</v>
      </c>
      <c r="G139" t="s">
        <v>1129</v>
      </c>
      <c r="H139" t="s">
        <v>1133</v>
      </c>
      <c r="I139">
        <v>190</v>
      </c>
    </row>
    <row r="140" spans="1:9" x14ac:dyDescent="0.25">
      <c r="A140" t="s">
        <v>78</v>
      </c>
      <c r="B140" t="s">
        <v>246</v>
      </c>
      <c r="C140" t="s">
        <v>1111</v>
      </c>
      <c r="D140" t="s">
        <v>1123</v>
      </c>
      <c r="E140">
        <v>56.95</v>
      </c>
      <c r="F140">
        <v>785885</v>
      </c>
      <c r="G140" t="s">
        <v>1129</v>
      </c>
      <c r="H140" t="s">
        <v>1133</v>
      </c>
      <c r="I140">
        <v>191</v>
      </c>
    </row>
    <row r="141" spans="1:9" x14ac:dyDescent="0.25">
      <c r="A141" t="s">
        <v>70</v>
      </c>
      <c r="B141" t="s">
        <v>247</v>
      </c>
      <c r="C141" t="s">
        <v>1115</v>
      </c>
      <c r="D141" t="s">
        <v>1123</v>
      </c>
      <c r="E141">
        <v>70.12</v>
      </c>
      <c r="F141">
        <v>518876</v>
      </c>
      <c r="G141" t="s">
        <v>1130</v>
      </c>
      <c r="H141" t="s">
        <v>1134</v>
      </c>
      <c r="I141">
        <v>192</v>
      </c>
    </row>
    <row r="142" spans="1:9" x14ac:dyDescent="0.25">
      <c r="A142" t="s">
        <v>20</v>
      </c>
      <c r="B142" t="s">
        <v>248</v>
      </c>
      <c r="C142" t="s">
        <v>1116</v>
      </c>
      <c r="D142" t="s">
        <v>1123</v>
      </c>
      <c r="E142">
        <v>90.01</v>
      </c>
      <c r="F142">
        <v>175857</v>
      </c>
      <c r="G142" t="s">
        <v>1130</v>
      </c>
      <c r="H142" t="s">
        <v>1134</v>
      </c>
      <c r="I142">
        <v>193</v>
      </c>
    </row>
    <row r="143" spans="1:9" x14ac:dyDescent="0.25">
      <c r="A143" t="s">
        <v>18</v>
      </c>
      <c r="B143" t="s">
        <v>249</v>
      </c>
      <c r="C143" t="s">
        <v>1113</v>
      </c>
      <c r="D143" t="s">
        <v>1124</v>
      </c>
      <c r="E143">
        <v>45.08</v>
      </c>
      <c r="F143">
        <v>263571</v>
      </c>
      <c r="G143" t="s">
        <v>1131</v>
      </c>
      <c r="H143" t="s">
        <v>1133</v>
      </c>
      <c r="I143">
        <v>194</v>
      </c>
    </row>
    <row r="144" spans="1:9" x14ac:dyDescent="0.25">
      <c r="A144" t="s">
        <v>50</v>
      </c>
      <c r="B144" t="s">
        <v>250</v>
      </c>
      <c r="C144" t="s">
        <v>1108</v>
      </c>
      <c r="D144" t="s">
        <v>1120</v>
      </c>
      <c r="E144">
        <v>40.270000000000003</v>
      </c>
      <c r="F144">
        <v>892411</v>
      </c>
      <c r="G144" t="s">
        <v>1131</v>
      </c>
      <c r="H144" t="s">
        <v>1133</v>
      </c>
      <c r="I144">
        <v>195</v>
      </c>
    </row>
    <row r="145" spans="1:9" x14ac:dyDescent="0.25">
      <c r="A145" t="s">
        <v>79</v>
      </c>
      <c r="B145" t="s">
        <v>251</v>
      </c>
      <c r="C145" t="s">
        <v>1116</v>
      </c>
      <c r="D145" t="s">
        <v>1127</v>
      </c>
      <c r="E145">
        <v>60.45</v>
      </c>
      <c r="F145">
        <v>629390</v>
      </c>
      <c r="G145" t="s">
        <v>1131</v>
      </c>
      <c r="H145" t="s">
        <v>1133</v>
      </c>
      <c r="I145">
        <v>196</v>
      </c>
    </row>
    <row r="146" spans="1:9" x14ac:dyDescent="0.25">
      <c r="A146" t="s">
        <v>31</v>
      </c>
      <c r="B146" t="s">
        <v>252</v>
      </c>
      <c r="C146" t="s">
        <v>1110</v>
      </c>
      <c r="D146" t="s">
        <v>1120</v>
      </c>
      <c r="E146">
        <v>79.239999999999995</v>
      </c>
      <c r="F146">
        <v>875918</v>
      </c>
      <c r="G146" t="s">
        <v>1130</v>
      </c>
      <c r="H146" t="s">
        <v>1133</v>
      </c>
      <c r="I146">
        <v>197</v>
      </c>
    </row>
    <row r="147" spans="1:9" x14ac:dyDescent="0.25">
      <c r="A147" t="s">
        <v>80</v>
      </c>
      <c r="B147" t="s">
        <v>253</v>
      </c>
      <c r="C147" t="s">
        <v>1114</v>
      </c>
      <c r="D147" t="s">
        <v>1118</v>
      </c>
      <c r="E147">
        <v>70.53</v>
      </c>
      <c r="F147">
        <v>391324</v>
      </c>
      <c r="G147" t="s">
        <v>1130</v>
      </c>
      <c r="H147" t="s">
        <v>1134</v>
      </c>
      <c r="I147">
        <v>198</v>
      </c>
    </row>
    <row r="148" spans="1:9" x14ac:dyDescent="0.25">
      <c r="A148" t="s">
        <v>14</v>
      </c>
      <c r="B148" t="s">
        <v>254</v>
      </c>
      <c r="C148" t="s">
        <v>1117</v>
      </c>
      <c r="D148" t="s">
        <v>1121</v>
      </c>
      <c r="E148">
        <v>70.2</v>
      </c>
      <c r="F148">
        <v>905213</v>
      </c>
      <c r="G148" t="s">
        <v>1130</v>
      </c>
      <c r="H148" t="s">
        <v>1134</v>
      </c>
      <c r="I148">
        <v>199</v>
      </c>
    </row>
    <row r="149" spans="1:9" x14ac:dyDescent="0.25">
      <c r="A149" t="s">
        <v>58</v>
      </c>
      <c r="B149" t="s">
        <v>255</v>
      </c>
      <c r="C149" t="s">
        <v>1112</v>
      </c>
      <c r="D149" t="s">
        <v>1124</v>
      </c>
      <c r="E149">
        <v>37.25</v>
      </c>
      <c r="F149">
        <v>353808</v>
      </c>
      <c r="G149" t="s">
        <v>1132</v>
      </c>
      <c r="H149" t="s">
        <v>1133</v>
      </c>
      <c r="I149">
        <v>200</v>
      </c>
    </row>
    <row r="150" spans="1:9" x14ac:dyDescent="0.25">
      <c r="A150" t="s">
        <v>81</v>
      </c>
      <c r="B150" t="s">
        <v>256</v>
      </c>
      <c r="C150" t="s">
        <v>1112</v>
      </c>
      <c r="D150" t="s">
        <v>1123</v>
      </c>
      <c r="E150">
        <v>58.77</v>
      </c>
      <c r="F150">
        <v>501500</v>
      </c>
      <c r="G150" t="s">
        <v>1132</v>
      </c>
      <c r="H150" t="s">
        <v>1133</v>
      </c>
      <c r="I150">
        <v>201</v>
      </c>
    </row>
    <row r="151" spans="1:9" x14ac:dyDescent="0.25">
      <c r="A151" t="s">
        <v>47</v>
      </c>
      <c r="B151" t="s">
        <v>257</v>
      </c>
      <c r="C151" t="s">
        <v>1116</v>
      </c>
      <c r="D151" t="s">
        <v>1123</v>
      </c>
      <c r="E151">
        <v>37.729999999999997</v>
      </c>
      <c r="F151">
        <v>841281</v>
      </c>
      <c r="G151" t="s">
        <v>1128</v>
      </c>
      <c r="H151" t="s">
        <v>1133</v>
      </c>
      <c r="I151">
        <v>202</v>
      </c>
    </row>
    <row r="152" spans="1:9" x14ac:dyDescent="0.25">
      <c r="A152" t="s">
        <v>82</v>
      </c>
      <c r="B152" t="s">
        <v>258</v>
      </c>
      <c r="C152" t="s">
        <v>1109</v>
      </c>
      <c r="D152" t="s">
        <v>1121</v>
      </c>
      <c r="E152">
        <v>92.44</v>
      </c>
      <c r="F152">
        <v>287498</v>
      </c>
      <c r="G152" t="s">
        <v>1131</v>
      </c>
      <c r="H152" t="s">
        <v>1133</v>
      </c>
      <c r="I152">
        <v>203</v>
      </c>
    </row>
    <row r="153" spans="1:9" x14ac:dyDescent="0.25">
      <c r="A153" t="s">
        <v>83</v>
      </c>
      <c r="B153" t="s">
        <v>259</v>
      </c>
      <c r="C153" t="s">
        <v>1113</v>
      </c>
      <c r="D153" t="s">
        <v>1125</v>
      </c>
      <c r="E153">
        <v>63.08</v>
      </c>
      <c r="F153">
        <v>669162</v>
      </c>
      <c r="G153" t="s">
        <v>1128</v>
      </c>
      <c r="H153" t="s">
        <v>1133</v>
      </c>
      <c r="I153">
        <v>204</v>
      </c>
    </row>
    <row r="154" spans="1:9" x14ac:dyDescent="0.25">
      <c r="A154" t="s">
        <v>84</v>
      </c>
      <c r="B154" t="s">
        <v>260</v>
      </c>
      <c r="C154" t="s">
        <v>1117</v>
      </c>
      <c r="D154" t="s">
        <v>1127</v>
      </c>
      <c r="E154">
        <v>83.46</v>
      </c>
      <c r="F154">
        <v>799653</v>
      </c>
      <c r="G154" t="s">
        <v>1132</v>
      </c>
      <c r="H154" t="s">
        <v>1133</v>
      </c>
      <c r="I154">
        <v>205</v>
      </c>
    </row>
    <row r="155" spans="1:9" x14ac:dyDescent="0.25">
      <c r="A155" t="s">
        <v>16</v>
      </c>
      <c r="B155" t="s">
        <v>261</v>
      </c>
      <c r="C155" t="s">
        <v>1110</v>
      </c>
      <c r="D155" t="s">
        <v>1122</v>
      </c>
      <c r="E155">
        <v>98.95</v>
      </c>
      <c r="F155">
        <v>395889</v>
      </c>
      <c r="G155" t="s">
        <v>1129</v>
      </c>
      <c r="H155" t="s">
        <v>1133</v>
      </c>
      <c r="I155">
        <v>206</v>
      </c>
    </row>
    <row r="156" spans="1:9" x14ac:dyDescent="0.25">
      <c r="A156" t="s">
        <v>34</v>
      </c>
      <c r="B156" t="s">
        <v>262</v>
      </c>
      <c r="C156" t="s">
        <v>1116</v>
      </c>
      <c r="D156" t="s">
        <v>1127</v>
      </c>
      <c r="E156">
        <v>76.73</v>
      </c>
      <c r="F156">
        <v>367349</v>
      </c>
      <c r="G156" t="s">
        <v>1128</v>
      </c>
      <c r="H156" t="s">
        <v>1133</v>
      </c>
      <c r="I156">
        <v>207</v>
      </c>
    </row>
    <row r="157" spans="1:9" x14ac:dyDescent="0.25">
      <c r="A157" t="s">
        <v>58</v>
      </c>
      <c r="B157" t="s">
        <v>263</v>
      </c>
      <c r="C157" t="s">
        <v>1114</v>
      </c>
      <c r="D157" t="s">
        <v>1120</v>
      </c>
      <c r="E157">
        <v>38.840000000000003</v>
      </c>
      <c r="F157">
        <v>956562</v>
      </c>
      <c r="G157" t="s">
        <v>1132</v>
      </c>
      <c r="H157" t="s">
        <v>1133</v>
      </c>
      <c r="I157">
        <v>208</v>
      </c>
    </row>
    <row r="158" spans="1:9" x14ac:dyDescent="0.25">
      <c r="A158" t="s">
        <v>48</v>
      </c>
      <c r="B158" t="s">
        <v>264</v>
      </c>
      <c r="C158" t="s">
        <v>1110</v>
      </c>
      <c r="D158" t="s">
        <v>1122</v>
      </c>
      <c r="E158">
        <v>64.430000000000007</v>
      </c>
      <c r="F158">
        <v>845073</v>
      </c>
      <c r="G158" t="s">
        <v>1129</v>
      </c>
      <c r="H158" t="s">
        <v>1133</v>
      </c>
      <c r="I158">
        <v>209</v>
      </c>
    </row>
    <row r="159" spans="1:9" x14ac:dyDescent="0.25">
      <c r="A159" t="s">
        <v>36</v>
      </c>
      <c r="B159" t="s">
        <v>265</v>
      </c>
      <c r="C159" t="s">
        <v>1116</v>
      </c>
      <c r="D159" t="s">
        <v>1120</v>
      </c>
      <c r="E159">
        <v>95.61</v>
      </c>
      <c r="F159">
        <v>644817</v>
      </c>
      <c r="G159" t="s">
        <v>1131</v>
      </c>
      <c r="H159" t="s">
        <v>1133</v>
      </c>
      <c r="I159">
        <v>210</v>
      </c>
    </row>
    <row r="160" spans="1:9" x14ac:dyDescent="0.25">
      <c r="A160" t="s">
        <v>85</v>
      </c>
      <c r="B160" t="s">
        <v>266</v>
      </c>
      <c r="C160" t="s">
        <v>1109</v>
      </c>
      <c r="D160" t="s">
        <v>1126</v>
      </c>
      <c r="E160">
        <v>42.94</v>
      </c>
      <c r="F160">
        <v>732431</v>
      </c>
      <c r="G160" t="s">
        <v>1128</v>
      </c>
      <c r="H160" t="s">
        <v>1133</v>
      </c>
      <c r="I160">
        <v>211</v>
      </c>
    </row>
    <row r="161" spans="1:9" x14ac:dyDescent="0.25">
      <c r="A161" t="s">
        <v>78</v>
      </c>
      <c r="B161" t="s">
        <v>267</v>
      </c>
      <c r="C161" t="s">
        <v>1114</v>
      </c>
      <c r="D161" t="s">
        <v>1118</v>
      </c>
      <c r="E161">
        <v>79.45</v>
      </c>
      <c r="F161">
        <v>293161</v>
      </c>
      <c r="G161" t="s">
        <v>1131</v>
      </c>
      <c r="H161" t="s">
        <v>1133</v>
      </c>
      <c r="I161">
        <v>212</v>
      </c>
    </row>
    <row r="162" spans="1:9" x14ac:dyDescent="0.25">
      <c r="A162" t="s">
        <v>37</v>
      </c>
      <c r="B162" t="s">
        <v>268</v>
      </c>
      <c r="C162" t="s">
        <v>1110</v>
      </c>
      <c r="D162" t="s">
        <v>1120</v>
      </c>
      <c r="E162">
        <v>63.67</v>
      </c>
      <c r="F162">
        <v>443158</v>
      </c>
      <c r="G162" t="s">
        <v>1128</v>
      </c>
      <c r="H162" t="s">
        <v>1133</v>
      </c>
      <c r="I162">
        <v>213</v>
      </c>
    </row>
    <row r="163" spans="1:9" x14ac:dyDescent="0.25">
      <c r="A163" t="s">
        <v>85</v>
      </c>
      <c r="B163" t="s">
        <v>269</v>
      </c>
      <c r="C163" t="s">
        <v>1113</v>
      </c>
      <c r="D163" t="s">
        <v>1120</v>
      </c>
      <c r="E163">
        <v>38.4</v>
      </c>
      <c r="F163">
        <v>116582</v>
      </c>
      <c r="G163" t="s">
        <v>1132</v>
      </c>
      <c r="H163" t="s">
        <v>1133</v>
      </c>
      <c r="I163">
        <v>214</v>
      </c>
    </row>
    <row r="164" spans="1:9" x14ac:dyDescent="0.25">
      <c r="A164" t="s">
        <v>86</v>
      </c>
      <c r="B164" t="s">
        <v>270</v>
      </c>
      <c r="C164" t="s">
        <v>1109</v>
      </c>
      <c r="D164" t="s">
        <v>1118</v>
      </c>
      <c r="E164">
        <v>67.03</v>
      </c>
      <c r="F164">
        <v>801413</v>
      </c>
      <c r="G164" t="s">
        <v>1129</v>
      </c>
      <c r="H164" t="s">
        <v>1133</v>
      </c>
      <c r="I164">
        <v>215</v>
      </c>
    </row>
    <row r="165" spans="1:9" x14ac:dyDescent="0.25">
      <c r="A165" t="s">
        <v>77</v>
      </c>
      <c r="B165" t="s">
        <v>271</v>
      </c>
      <c r="C165" t="s">
        <v>1116</v>
      </c>
      <c r="D165" t="s">
        <v>1122</v>
      </c>
      <c r="E165">
        <v>52.13</v>
      </c>
      <c r="F165">
        <v>279027</v>
      </c>
      <c r="G165" t="s">
        <v>1132</v>
      </c>
      <c r="H165" t="s">
        <v>1133</v>
      </c>
      <c r="I165">
        <v>216</v>
      </c>
    </row>
    <row r="166" spans="1:9" x14ac:dyDescent="0.25">
      <c r="A166" t="s">
        <v>55</v>
      </c>
      <c r="B166" t="s">
        <v>272</v>
      </c>
      <c r="C166" t="s">
        <v>1114</v>
      </c>
      <c r="D166" t="s">
        <v>1125</v>
      </c>
      <c r="E166">
        <v>45.06</v>
      </c>
      <c r="F166">
        <v>111941</v>
      </c>
      <c r="G166" t="s">
        <v>1128</v>
      </c>
      <c r="H166" t="s">
        <v>1134</v>
      </c>
      <c r="I166">
        <v>217</v>
      </c>
    </row>
    <row r="167" spans="1:9" x14ac:dyDescent="0.25">
      <c r="A167" t="s">
        <v>16</v>
      </c>
      <c r="B167" t="s">
        <v>273</v>
      </c>
      <c r="C167" t="s">
        <v>1114</v>
      </c>
      <c r="D167" t="s">
        <v>1121</v>
      </c>
      <c r="E167">
        <v>75.45</v>
      </c>
      <c r="F167">
        <v>427293</v>
      </c>
      <c r="G167" t="s">
        <v>1132</v>
      </c>
      <c r="H167" t="s">
        <v>1133</v>
      </c>
      <c r="I167">
        <v>218</v>
      </c>
    </row>
    <row r="168" spans="1:9" x14ac:dyDescent="0.25">
      <c r="A168" t="s">
        <v>32</v>
      </c>
      <c r="B168" t="s">
        <v>274</v>
      </c>
      <c r="C168" t="s">
        <v>1114</v>
      </c>
      <c r="D168" t="s">
        <v>1119</v>
      </c>
      <c r="E168">
        <v>78.94</v>
      </c>
      <c r="F168">
        <v>568635</v>
      </c>
      <c r="G168" t="s">
        <v>1128</v>
      </c>
      <c r="H168" t="s">
        <v>1133</v>
      </c>
      <c r="I168">
        <v>219</v>
      </c>
    </row>
    <row r="169" spans="1:9" x14ac:dyDescent="0.25">
      <c r="A169" t="s">
        <v>87</v>
      </c>
      <c r="B169" t="s">
        <v>275</v>
      </c>
      <c r="C169" t="s">
        <v>1111</v>
      </c>
      <c r="D169" t="s">
        <v>1119</v>
      </c>
      <c r="E169">
        <v>75.150000000000006</v>
      </c>
      <c r="F169">
        <v>899772</v>
      </c>
      <c r="G169" t="s">
        <v>1129</v>
      </c>
      <c r="H169" t="s">
        <v>1133</v>
      </c>
      <c r="I169">
        <v>220</v>
      </c>
    </row>
    <row r="170" spans="1:9" x14ac:dyDescent="0.25">
      <c r="A170" t="s">
        <v>36</v>
      </c>
      <c r="B170" t="s">
        <v>276</v>
      </c>
      <c r="C170" t="s">
        <v>1111</v>
      </c>
      <c r="D170" t="s">
        <v>1122</v>
      </c>
      <c r="E170">
        <v>99.41</v>
      </c>
      <c r="F170">
        <v>330950</v>
      </c>
      <c r="G170" t="s">
        <v>1130</v>
      </c>
      <c r="H170" t="s">
        <v>1134</v>
      </c>
      <c r="I170">
        <v>221</v>
      </c>
    </row>
    <row r="171" spans="1:9" x14ac:dyDescent="0.25">
      <c r="A171" t="s">
        <v>61</v>
      </c>
      <c r="B171" t="s">
        <v>277</v>
      </c>
      <c r="C171" t="s">
        <v>1117</v>
      </c>
      <c r="D171" t="s">
        <v>1120</v>
      </c>
      <c r="E171">
        <v>51.72</v>
      </c>
      <c r="F171">
        <v>310700</v>
      </c>
      <c r="G171" t="s">
        <v>1131</v>
      </c>
      <c r="H171" t="s">
        <v>1134</v>
      </c>
      <c r="I171">
        <v>222</v>
      </c>
    </row>
    <row r="172" spans="1:9" x14ac:dyDescent="0.25">
      <c r="A172" t="s">
        <v>46</v>
      </c>
      <c r="B172" t="s">
        <v>278</v>
      </c>
      <c r="C172" t="s">
        <v>1112</v>
      </c>
      <c r="D172" t="s">
        <v>1123</v>
      </c>
      <c r="E172">
        <v>64.17</v>
      </c>
      <c r="F172">
        <v>637843</v>
      </c>
      <c r="G172" t="s">
        <v>1130</v>
      </c>
      <c r="H172" t="s">
        <v>1134</v>
      </c>
      <c r="I172">
        <v>223</v>
      </c>
    </row>
    <row r="173" spans="1:9" x14ac:dyDescent="0.25">
      <c r="A173" t="s">
        <v>76</v>
      </c>
      <c r="B173" t="s">
        <v>279</v>
      </c>
      <c r="C173" t="s">
        <v>1113</v>
      </c>
      <c r="D173" t="s">
        <v>1118</v>
      </c>
      <c r="E173">
        <v>65.209999999999994</v>
      </c>
      <c r="F173">
        <v>535538</v>
      </c>
      <c r="G173" t="s">
        <v>1129</v>
      </c>
      <c r="H173" t="s">
        <v>1134</v>
      </c>
      <c r="I173">
        <v>224</v>
      </c>
    </row>
    <row r="174" spans="1:9" x14ac:dyDescent="0.25">
      <c r="A174" t="s">
        <v>82</v>
      </c>
      <c r="B174" t="s">
        <v>280</v>
      </c>
      <c r="C174" t="s">
        <v>1116</v>
      </c>
      <c r="D174" t="s">
        <v>1121</v>
      </c>
      <c r="E174">
        <v>67.53</v>
      </c>
      <c r="F174">
        <v>335354</v>
      </c>
      <c r="G174" t="s">
        <v>1130</v>
      </c>
      <c r="H174" t="s">
        <v>1133</v>
      </c>
      <c r="I174">
        <v>225</v>
      </c>
    </row>
    <row r="175" spans="1:9" x14ac:dyDescent="0.25">
      <c r="A175" t="s">
        <v>29</v>
      </c>
      <c r="B175" t="s">
        <v>281</v>
      </c>
      <c r="C175" t="s">
        <v>1114</v>
      </c>
      <c r="D175" t="s">
        <v>1121</v>
      </c>
      <c r="E175">
        <v>84.99</v>
      </c>
      <c r="F175">
        <v>239995</v>
      </c>
      <c r="G175" t="s">
        <v>1128</v>
      </c>
      <c r="H175" t="s">
        <v>1133</v>
      </c>
      <c r="I175">
        <v>226</v>
      </c>
    </row>
    <row r="176" spans="1:9" x14ac:dyDescent="0.25">
      <c r="A176" t="s">
        <v>75</v>
      </c>
      <c r="B176" t="s">
        <v>282</v>
      </c>
      <c r="C176" t="s">
        <v>1113</v>
      </c>
      <c r="D176" t="s">
        <v>1118</v>
      </c>
      <c r="E176">
        <v>77.25</v>
      </c>
      <c r="F176">
        <v>467389</v>
      </c>
      <c r="G176" t="s">
        <v>1131</v>
      </c>
      <c r="H176" t="s">
        <v>1133</v>
      </c>
      <c r="I176">
        <v>227</v>
      </c>
    </row>
    <row r="177" spans="1:9" x14ac:dyDescent="0.25">
      <c r="A177" t="s">
        <v>53</v>
      </c>
      <c r="B177" t="s">
        <v>283</v>
      </c>
      <c r="C177" t="s">
        <v>1114</v>
      </c>
      <c r="D177" t="s">
        <v>1120</v>
      </c>
      <c r="E177">
        <v>78.739999999999995</v>
      </c>
      <c r="F177">
        <v>476021</v>
      </c>
      <c r="G177" t="s">
        <v>1130</v>
      </c>
      <c r="H177" t="s">
        <v>1133</v>
      </c>
      <c r="I177">
        <v>228</v>
      </c>
    </row>
    <row r="178" spans="1:9" x14ac:dyDescent="0.25">
      <c r="A178" t="s">
        <v>42</v>
      </c>
      <c r="B178" t="s">
        <v>284</v>
      </c>
      <c r="C178" t="s">
        <v>1114</v>
      </c>
      <c r="D178" t="s">
        <v>1121</v>
      </c>
      <c r="E178">
        <v>71.95</v>
      </c>
      <c r="F178">
        <v>342036</v>
      </c>
      <c r="G178" t="s">
        <v>1132</v>
      </c>
      <c r="H178" t="s">
        <v>1133</v>
      </c>
      <c r="I178">
        <v>229</v>
      </c>
    </row>
    <row r="179" spans="1:9" x14ac:dyDescent="0.25">
      <c r="A179" t="s">
        <v>84</v>
      </c>
      <c r="B179" t="s">
        <v>285</v>
      </c>
      <c r="C179" t="s">
        <v>1108</v>
      </c>
      <c r="D179" t="s">
        <v>1126</v>
      </c>
      <c r="E179">
        <v>69.290000000000006</v>
      </c>
      <c r="F179">
        <v>683032</v>
      </c>
      <c r="G179" t="s">
        <v>1131</v>
      </c>
      <c r="H179" t="s">
        <v>1133</v>
      </c>
      <c r="I179">
        <v>230</v>
      </c>
    </row>
    <row r="180" spans="1:9" x14ac:dyDescent="0.25">
      <c r="A180" t="s">
        <v>27</v>
      </c>
      <c r="B180" t="s">
        <v>286</v>
      </c>
      <c r="C180" t="s">
        <v>1108</v>
      </c>
      <c r="D180" t="s">
        <v>1125</v>
      </c>
      <c r="E180">
        <v>38.11</v>
      </c>
      <c r="F180">
        <v>875607</v>
      </c>
      <c r="G180" t="s">
        <v>1130</v>
      </c>
      <c r="H180" t="s">
        <v>1133</v>
      </c>
      <c r="I180">
        <v>231</v>
      </c>
    </row>
    <row r="181" spans="1:9" x14ac:dyDescent="0.25">
      <c r="A181" t="s">
        <v>24</v>
      </c>
      <c r="B181" t="s">
        <v>287</v>
      </c>
      <c r="C181" t="s">
        <v>1108</v>
      </c>
      <c r="D181" t="s">
        <v>1122</v>
      </c>
      <c r="E181">
        <v>43.14</v>
      </c>
      <c r="F181">
        <v>991106</v>
      </c>
      <c r="G181" t="s">
        <v>1130</v>
      </c>
      <c r="H181" t="s">
        <v>1133</v>
      </c>
      <c r="I181">
        <v>232</v>
      </c>
    </row>
    <row r="182" spans="1:9" x14ac:dyDescent="0.25">
      <c r="A182" t="s">
        <v>56</v>
      </c>
      <c r="B182" t="s">
        <v>288</v>
      </c>
      <c r="C182" t="s">
        <v>1108</v>
      </c>
      <c r="D182" t="s">
        <v>1120</v>
      </c>
      <c r="E182">
        <v>36</v>
      </c>
      <c r="F182">
        <v>293804</v>
      </c>
      <c r="G182" t="s">
        <v>1132</v>
      </c>
      <c r="H182" t="s">
        <v>1134</v>
      </c>
      <c r="I182">
        <v>233</v>
      </c>
    </row>
    <row r="183" spans="1:9" x14ac:dyDescent="0.25">
      <c r="A183" t="s">
        <v>83</v>
      </c>
      <c r="B183" t="s">
        <v>289</v>
      </c>
      <c r="C183" t="s">
        <v>1110</v>
      </c>
      <c r="D183" t="s">
        <v>1127</v>
      </c>
      <c r="E183">
        <v>86.13</v>
      </c>
      <c r="F183">
        <v>466317</v>
      </c>
      <c r="G183" t="s">
        <v>1128</v>
      </c>
      <c r="H183" t="s">
        <v>1133</v>
      </c>
      <c r="I183">
        <v>234</v>
      </c>
    </row>
    <row r="184" spans="1:9" x14ac:dyDescent="0.25">
      <c r="A184" t="s">
        <v>51</v>
      </c>
      <c r="B184" t="s">
        <v>290</v>
      </c>
      <c r="C184" t="s">
        <v>1117</v>
      </c>
      <c r="D184" t="s">
        <v>1123</v>
      </c>
      <c r="E184">
        <v>56.3</v>
      </c>
      <c r="F184">
        <v>530136</v>
      </c>
      <c r="G184" t="s">
        <v>1131</v>
      </c>
      <c r="H184" t="s">
        <v>1134</v>
      </c>
      <c r="I184">
        <v>235</v>
      </c>
    </row>
    <row r="185" spans="1:9" x14ac:dyDescent="0.25">
      <c r="A185" t="s">
        <v>72</v>
      </c>
      <c r="B185" t="s">
        <v>291</v>
      </c>
      <c r="C185" t="s">
        <v>1111</v>
      </c>
      <c r="D185" t="s">
        <v>1120</v>
      </c>
      <c r="E185">
        <v>60.22</v>
      </c>
      <c r="F185">
        <v>916217</v>
      </c>
      <c r="G185" t="s">
        <v>1129</v>
      </c>
      <c r="H185" t="s">
        <v>1133</v>
      </c>
      <c r="I185">
        <v>236</v>
      </c>
    </row>
    <row r="186" spans="1:9" x14ac:dyDescent="0.25">
      <c r="A186" t="s">
        <v>87</v>
      </c>
      <c r="B186" t="s">
        <v>292</v>
      </c>
      <c r="C186" t="s">
        <v>1112</v>
      </c>
      <c r="D186" t="s">
        <v>1124</v>
      </c>
      <c r="E186">
        <v>81.34</v>
      </c>
      <c r="F186">
        <v>645844</v>
      </c>
      <c r="G186" t="s">
        <v>1130</v>
      </c>
      <c r="H186" t="s">
        <v>1133</v>
      </c>
      <c r="I186">
        <v>237</v>
      </c>
    </row>
    <row r="187" spans="1:9" x14ac:dyDescent="0.25">
      <c r="A187" t="s">
        <v>77</v>
      </c>
      <c r="B187" t="s">
        <v>293</v>
      </c>
      <c r="C187" t="s">
        <v>1116</v>
      </c>
      <c r="D187" t="s">
        <v>1126</v>
      </c>
      <c r="E187">
        <v>68.88</v>
      </c>
      <c r="F187">
        <v>307287</v>
      </c>
      <c r="G187" t="s">
        <v>1132</v>
      </c>
      <c r="H187" t="s">
        <v>1133</v>
      </c>
      <c r="I187">
        <v>238</v>
      </c>
    </row>
    <row r="188" spans="1:9" x14ac:dyDescent="0.25">
      <c r="A188" t="s">
        <v>28</v>
      </c>
      <c r="B188" t="s">
        <v>294</v>
      </c>
      <c r="C188" t="s">
        <v>1109</v>
      </c>
      <c r="D188" t="s">
        <v>1126</v>
      </c>
      <c r="E188">
        <v>85.08</v>
      </c>
      <c r="F188">
        <v>504646</v>
      </c>
      <c r="G188" t="s">
        <v>1128</v>
      </c>
      <c r="H188" t="s">
        <v>1133</v>
      </c>
      <c r="I188">
        <v>239</v>
      </c>
    </row>
    <row r="189" spans="1:9" x14ac:dyDescent="0.25">
      <c r="A189" t="s">
        <v>43</v>
      </c>
      <c r="B189" t="s">
        <v>295</v>
      </c>
      <c r="C189" t="s">
        <v>1116</v>
      </c>
      <c r="D189" t="s">
        <v>1120</v>
      </c>
      <c r="E189">
        <v>79.89</v>
      </c>
      <c r="F189">
        <v>542467</v>
      </c>
      <c r="G189" t="s">
        <v>1131</v>
      </c>
      <c r="H189" t="s">
        <v>1133</v>
      </c>
      <c r="I189">
        <v>240</v>
      </c>
    </row>
    <row r="190" spans="1:9" x14ac:dyDescent="0.25">
      <c r="A190" t="s">
        <v>14</v>
      </c>
      <c r="B190" t="s">
        <v>296</v>
      </c>
      <c r="C190" t="s">
        <v>1109</v>
      </c>
      <c r="D190" t="s">
        <v>1127</v>
      </c>
      <c r="E190">
        <v>87.04</v>
      </c>
      <c r="F190">
        <v>556525</v>
      </c>
      <c r="G190" t="s">
        <v>1128</v>
      </c>
      <c r="H190" t="s">
        <v>1134</v>
      </c>
      <c r="I190">
        <v>241</v>
      </c>
    </row>
    <row r="191" spans="1:9" x14ac:dyDescent="0.25">
      <c r="A191" t="s">
        <v>84</v>
      </c>
      <c r="B191" t="s">
        <v>297</v>
      </c>
      <c r="C191" t="s">
        <v>1108</v>
      </c>
      <c r="D191" t="s">
        <v>1119</v>
      </c>
      <c r="E191">
        <v>77.84</v>
      </c>
      <c r="F191">
        <v>958105</v>
      </c>
      <c r="G191" t="s">
        <v>1128</v>
      </c>
      <c r="H191" t="s">
        <v>1133</v>
      </c>
      <c r="I191">
        <v>242</v>
      </c>
    </row>
    <row r="192" spans="1:9" x14ac:dyDescent="0.25">
      <c r="A192" t="s">
        <v>57</v>
      </c>
      <c r="B192" t="s">
        <v>298</v>
      </c>
      <c r="C192" t="s">
        <v>1113</v>
      </c>
      <c r="D192" t="s">
        <v>1123</v>
      </c>
      <c r="E192">
        <v>52.13</v>
      </c>
      <c r="F192">
        <v>299313</v>
      </c>
      <c r="G192" t="s">
        <v>1130</v>
      </c>
      <c r="H192" t="s">
        <v>1133</v>
      </c>
      <c r="I192">
        <v>243</v>
      </c>
    </row>
    <row r="193" spans="1:9" x14ac:dyDescent="0.25">
      <c r="A193" t="s">
        <v>23</v>
      </c>
      <c r="B193" t="s">
        <v>299</v>
      </c>
      <c r="C193" t="s">
        <v>1114</v>
      </c>
      <c r="D193" t="s">
        <v>1127</v>
      </c>
      <c r="E193">
        <v>71.709999999999994</v>
      </c>
      <c r="F193">
        <v>265224</v>
      </c>
      <c r="G193" t="s">
        <v>1129</v>
      </c>
      <c r="H193" t="s">
        <v>1133</v>
      </c>
      <c r="I193">
        <v>244</v>
      </c>
    </row>
    <row r="194" spans="1:9" x14ac:dyDescent="0.25">
      <c r="A194" t="s">
        <v>59</v>
      </c>
      <c r="B194" t="s">
        <v>300</v>
      </c>
      <c r="C194" t="s">
        <v>1114</v>
      </c>
      <c r="D194" t="s">
        <v>1123</v>
      </c>
      <c r="E194">
        <v>38.92</v>
      </c>
      <c r="F194">
        <v>831464</v>
      </c>
      <c r="G194" t="s">
        <v>1132</v>
      </c>
      <c r="H194" t="s">
        <v>1133</v>
      </c>
      <c r="I194">
        <v>245</v>
      </c>
    </row>
    <row r="195" spans="1:9" x14ac:dyDescent="0.25">
      <c r="A195" t="s">
        <v>46</v>
      </c>
      <c r="B195" t="s">
        <v>301</v>
      </c>
      <c r="C195" t="s">
        <v>1113</v>
      </c>
      <c r="D195" t="s">
        <v>1120</v>
      </c>
      <c r="E195">
        <v>87.14</v>
      </c>
      <c r="F195">
        <v>685008</v>
      </c>
      <c r="G195" t="s">
        <v>1131</v>
      </c>
      <c r="H195" t="s">
        <v>1133</v>
      </c>
      <c r="I195">
        <v>246</v>
      </c>
    </row>
    <row r="196" spans="1:9" x14ac:dyDescent="0.25">
      <c r="A196" t="s">
        <v>70</v>
      </c>
      <c r="B196" t="s">
        <v>302</v>
      </c>
      <c r="C196" t="s">
        <v>1116</v>
      </c>
      <c r="D196" t="s">
        <v>1123</v>
      </c>
      <c r="E196">
        <v>99.07</v>
      </c>
      <c r="F196">
        <v>114714</v>
      </c>
      <c r="G196" t="s">
        <v>1130</v>
      </c>
      <c r="H196" t="s">
        <v>1133</v>
      </c>
      <c r="I196">
        <v>247</v>
      </c>
    </row>
    <row r="197" spans="1:9" x14ac:dyDescent="0.25">
      <c r="A197" t="s">
        <v>63</v>
      </c>
      <c r="B197" t="s">
        <v>303</v>
      </c>
      <c r="C197" t="s">
        <v>1113</v>
      </c>
      <c r="D197" t="s">
        <v>1121</v>
      </c>
      <c r="E197">
        <v>83.01</v>
      </c>
      <c r="F197">
        <v>117665</v>
      </c>
      <c r="G197" t="s">
        <v>1131</v>
      </c>
      <c r="H197" t="s">
        <v>1133</v>
      </c>
      <c r="I197">
        <v>248</v>
      </c>
    </row>
    <row r="198" spans="1:9" x14ac:dyDescent="0.25">
      <c r="A198" t="s">
        <v>88</v>
      </c>
      <c r="B198" t="s">
        <v>304</v>
      </c>
      <c r="C198" t="s">
        <v>1117</v>
      </c>
      <c r="D198" t="s">
        <v>1124</v>
      </c>
      <c r="E198">
        <v>61.52</v>
      </c>
      <c r="F198">
        <v>425787</v>
      </c>
      <c r="G198" t="s">
        <v>1128</v>
      </c>
      <c r="H198" t="s">
        <v>1133</v>
      </c>
      <c r="I198">
        <v>249</v>
      </c>
    </row>
    <row r="199" spans="1:9" x14ac:dyDescent="0.25">
      <c r="A199" t="s">
        <v>27</v>
      </c>
      <c r="B199" t="s">
        <v>305</v>
      </c>
      <c r="C199" t="s">
        <v>1109</v>
      </c>
      <c r="D199" t="s">
        <v>1127</v>
      </c>
      <c r="E199">
        <v>44.19</v>
      </c>
      <c r="F199">
        <v>719623</v>
      </c>
      <c r="G199" t="s">
        <v>1132</v>
      </c>
      <c r="H199" t="s">
        <v>1133</v>
      </c>
      <c r="I199">
        <v>250</v>
      </c>
    </row>
    <row r="200" spans="1:9" x14ac:dyDescent="0.25">
      <c r="A200" t="s">
        <v>42</v>
      </c>
      <c r="B200" t="s">
        <v>306</v>
      </c>
      <c r="C200" t="s">
        <v>1111</v>
      </c>
      <c r="D200" t="s">
        <v>1119</v>
      </c>
      <c r="E200">
        <v>39.340000000000003</v>
      </c>
      <c r="F200">
        <v>473387</v>
      </c>
      <c r="G200" t="s">
        <v>1129</v>
      </c>
      <c r="H200" t="s">
        <v>1134</v>
      </c>
      <c r="I200">
        <v>251</v>
      </c>
    </row>
    <row r="201" spans="1:9" x14ac:dyDescent="0.25">
      <c r="A201" t="s">
        <v>25</v>
      </c>
      <c r="B201" t="s">
        <v>307</v>
      </c>
      <c r="C201" t="s">
        <v>1109</v>
      </c>
      <c r="D201" t="s">
        <v>1122</v>
      </c>
      <c r="E201">
        <v>73.03</v>
      </c>
      <c r="F201">
        <v>869318</v>
      </c>
      <c r="G201" t="s">
        <v>1129</v>
      </c>
      <c r="H201" t="s">
        <v>1133</v>
      </c>
      <c r="I201">
        <v>252</v>
      </c>
    </row>
    <row r="202" spans="1:9" x14ac:dyDescent="0.25">
      <c r="A202" t="s">
        <v>28</v>
      </c>
      <c r="B202" t="s">
        <v>308</v>
      </c>
      <c r="C202" t="s">
        <v>1110</v>
      </c>
      <c r="D202" t="s">
        <v>1119</v>
      </c>
      <c r="E202">
        <v>91.83</v>
      </c>
      <c r="F202">
        <v>829915</v>
      </c>
      <c r="G202" t="s">
        <v>1129</v>
      </c>
      <c r="H202" t="s">
        <v>1133</v>
      </c>
      <c r="I202">
        <v>253</v>
      </c>
    </row>
    <row r="203" spans="1:9" x14ac:dyDescent="0.25">
      <c r="A203" t="s">
        <v>26</v>
      </c>
      <c r="B203" t="s">
        <v>309</v>
      </c>
      <c r="C203" t="s">
        <v>1111</v>
      </c>
      <c r="D203" t="s">
        <v>1119</v>
      </c>
      <c r="E203">
        <v>44.67</v>
      </c>
      <c r="F203">
        <v>194366</v>
      </c>
      <c r="G203" t="s">
        <v>1132</v>
      </c>
      <c r="H203" t="s">
        <v>1133</v>
      </c>
      <c r="I203">
        <v>254</v>
      </c>
    </row>
    <row r="204" spans="1:9" x14ac:dyDescent="0.25">
      <c r="A204" t="s">
        <v>89</v>
      </c>
      <c r="B204" t="s">
        <v>310</v>
      </c>
      <c r="C204" t="s">
        <v>1115</v>
      </c>
      <c r="D204" t="s">
        <v>1125</v>
      </c>
      <c r="E204">
        <v>46.2</v>
      </c>
      <c r="F204">
        <v>834102</v>
      </c>
      <c r="G204" t="s">
        <v>1130</v>
      </c>
      <c r="H204" t="s">
        <v>1133</v>
      </c>
      <c r="I204">
        <v>255</v>
      </c>
    </row>
    <row r="205" spans="1:9" x14ac:dyDescent="0.25">
      <c r="A205" t="s">
        <v>64</v>
      </c>
      <c r="B205" t="s">
        <v>311</v>
      </c>
      <c r="C205" t="s">
        <v>1117</v>
      </c>
      <c r="D205" t="s">
        <v>1121</v>
      </c>
      <c r="E205">
        <v>57.61</v>
      </c>
      <c r="F205">
        <v>726252</v>
      </c>
      <c r="G205" t="s">
        <v>1129</v>
      </c>
      <c r="H205" t="s">
        <v>1133</v>
      </c>
      <c r="I205">
        <v>256</v>
      </c>
    </row>
    <row r="206" spans="1:9" x14ac:dyDescent="0.25">
      <c r="A206" t="s">
        <v>76</v>
      </c>
      <c r="B206" t="s">
        <v>312</v>
      </c>
      <c r="C206" t="s">
        <v>1109</v>
      </c>
      <c r="D206" t="s">
        <v>1123</v>
      </c>
      <c r="E206">
        <v>67.42</v>
      </c>
      <c r="F206">
        <v>886833</v>
      </c>
      <c r="G206" t="s">
        <v>1132</v>
      </c>
      <c r="H206" t="s">
        <v>1134</v>
      </c>
      <c r="I206">
        <v>257</v>
      </c>
    </row>
    <row r="207" spans="1:9" x14ac:dyDescent="0.25">
      <c r="A207" t="s">
        <v>56</v>
      </c>
      <c r="B207" t="s">
        <v>313</v>
      </c>
      <c r="C207" t="s">
        <v>1113</v>
      </c>
      <c r="D207" t="s">
        <v>1126</v>
      </c>
      <c r="E207">
        <v>79.16</v>
      </c>
      <c r="F207">
        <v>158220</v>
      </c>
      <c r="G207" t="s">
        <v>1131</v>
      </c>
      <c r="H207" t="s">
        <v>1133</v>
      </c>
      <c r="I207">
        <v>258</v>
      </c>
    </row>
    <row r="208" spans="1:9" x14ac:dyDescent="0.25">
      <c r="A208" t="s">
        <v>69</v>
      </c>
      <c r="B208" t="s">
        <v>314</v>
      </c>
      <c r="C208" t="s">
        <v>1115</v>
      </c>
      <c r="D208" t="s">
        <v>1121</v>
      </c>
      <c r="E208">
        <v>77.95</v>
      </c>
      <c r="F208">
        <v>899616</v>
      </c>
      <c r="G208" t="s">
        <v>1130</v>
      </c>
      <c r="H208" t="s">
        <v>1133</v>
      </c>
      <c r="I208">
        <v>259</v>
      </c>
    </row>
    <row r="209" spans="1:9" x14ac:dyDescent="0.25">
      <c r="A209" t="s">
        <v>79</v>
      </c>
      <c r="B209" t="s">
        <v>315</v>
      </c>
      <c r="C209" t="s">
        <v>1112</v>
      </c>
      <c r="D209" t="s">
        <v>1122</v>
      </c>
      <c r="E209">
        <v>85.68</v>
      </c>
      <c r="F209">
        <v>460200</v>
      </c>
      <c r="G209" t="s">
        <v>1130</v>
      </c>
      <c r="H209" t="s">
        <v>1134</v>
      </c>
      <c r="I209">
        <v>260</v>
      </c>
    </row>
    <row r="210" spans="1:9" x14ac:dyDescent="0.25">
      <c r="A210" t="s">
        <v>65</v>
      </c>
      <c r="B210" t="s">
        <v>316</v>
      </c>
      <c r="C210" t="s">
        <v>1108</v>
      </c>
      <c r="D210" t="s">
        <v>1127</v>
      </c>
      <c r="E210">
        <v>50.84</v>
      </c>
      <c r="F210">
        <v>468380</v>
      </c>
      <c r="G210" t="s">
        <v>1130</v>
      </c>
      <c r="H210" t="s">
        <v>1134</v>
      </c>
      <c r="I210">
        <v>261</v>
      </c>
    </row>
    <row r="211" spans="1:9" x14ac:dyDescent="0.25">
      <c r="A211" t="s">
        <v>42</v>
      </c>
      <c r="B211" t="s">
        <v>317</v>
      </c>
      <c r="C211" t="s">
        <v>1111</v>
      </c>
      <c r="D211" t="s">
        <v>1127</v>
      </c>
      <c r="E211">
        <v>91.63</v>
      </c>
      <c r="F211">
        <v>179613</v>
      </c>
      <c r="G211" t="s">
        <v>1128</v>
      </c>
      <c r="H211" t="s">
        <v>1133</v>
      </c>
      <c r="I211">
        <v>262</v>
      </c>
    </row>
    <row r="212" spans="1:9" x14ac:dyDescent="0.25">
      <c r="A212" t="s">
        <v>45</v>
      </c>
      <c r="B212" t="s">
        <v>318</v>
      </c>
      <c r="C212" t="s">
        <v>1115</v>
      </c>
      <c r="D212" t="s">
        <v>1122</v>
      </c>
      <c r="E212">
        <v>67.73</v>
      </c>
      <c r="F212">
        <v>214223</v>
      </c>
      <c r="G212" t="s">
        <v>1130</v>
      </c>
      <c r="H212" t="s">
        <v>1133</v>
      </c>
      <c r="I212">
        <v>263</v>
      </c>
    </row>
    <row r="213" spans="1:9" x14ac:dyDescent="0.25">
      <c r="A213" t="s">
        <v>50</v>
      </c>
      <c r="B213" t="s">
        <v>319</v>
      </c>
      <c r="C213" t="s">
        <v>1111</v>
      </c>
      <c r="D213" t="s">
        <v>1125</v>
      </c>
      <c r="E213">
        <v>74.349999999999994</v>
      </c>
      <c r="F213">
        <v>818962</v>
      </c>
      <c r="G213" t="s">
        <v>1130</v>
      </c>
      <c r="H213" t="s">
        <v>1133</v>
      </c>
      <c r="I213">
        <v>264</v>
      </c>
    </row>
    <row r="214" spans="1:9" x14ac:dyDescent="0.25">
      <c r="A214" t="s">
        <v>63</v>
      </c>
      <c r="B214" t="s">
        <v>320</v>
      </c>
      <c r="C214" t="s">
        <v>1115</v>
      </c>
      <c r="D214" t="s">
        <v>1123</v>
      </c>
      <c r="E214">
        <v>81.31</v>
      </c>
      <c r="F214">
        <v>176050</v>
      </c>
      <c r="G214" t="s">
        <v>1131</v>
      </c>
      <c r="H214" t="s">
        <v>1133</v>
      </c>
      <c r="I214">
        <v>265</v>
      </c>
    </row>
    <row r="215" spans="1:9" x14ac:dyDescent="0.25">
      <c r="A215" t="s">
        <v>51</v>
      </c>
      <c r="B215" t="s">
        <v>321</v>
      </c>
      <c r="C215" t="s">
        <v>1115</v>
      </c>
      <c r="D215" t="s">
        <v>1126</v>
      </c>
      <c r="E215">
        <v>65.48</v>
      </c>
      <c r="F215">
        <v>594108</v>
      </c>
      <c r="G215" t="s">
        <v>1132</v>
      </c>
      <c r="H215" t="s">
        <v>1133</v>
      </c>
      <c r="I215">
        <v>266</v>
      </c>
    </row>
    <row r="216" spans="1:9" x14ac:dyDescent="0.25">
      <c r="A216" t="s">
        <v>41</v>
      </c>
      <c r="B216" t="s">
        <v>322</v>
      </c>
      <c r="C216" t="s">
        <v>1117</v>
      </c>
      <c r="D216" t="s">
        <v>1118</v>
      </c>
      <c r="E216">
        <v>79.56</v>
      </c>
      <c r="F216">
        <v>209568</v>
      </c>
      <c r="G216" t="s">
        <v>1129</v>
      </c>
      <c r="H216" t="s">
        <v>1134</v>
      </c>
      <c r="I216">
        <v>267</v>
      </c>
    </row>
    <row r="217" spans="1:9" x14ac:dyDescent="0.25">
      <c r="A217" t="s">
        <v>43</v>
      </c>
      <c r="B217" t="s">
        <v>323</v>
      </c>
      <c r="C217" t="s">
        <v>1115</v>
      </c>
      <c r="D217" t="s">
        <v>1122</v>
      </c>
      <c r="E217">
        <v>68.650000000000006</v>
      </c>
      <c r="F217">
        <v>800405</v>
      </c>
      <c r="G217" t="s">
        <v>1128</v>
      </c>
      <c r="H217" t="s">
        <v>1133</v>
      </c>
      <c r="I217">
        <v>268</v>
      </c>
    </row>
    <row r="218" spans="1:9" x14ac:dyDescent="0.25">
      <c r="A218" t="s">
        <v>82</v>
      </c>
      <c r="B218" t="s">
        <v>324</v>
      </c>
      <c r="C218" t="s">
        <v>1110</v>
      </c>
      <c r="D218" t="s">
        <v>1127</v>
      </c>
      <c r="E218">
        <v>79</v>
      </c>
      <c r="F218">
        <v>582138</v>
      </c>
      <c r="G218" t="s">
        <v>1128</v>
      </c>
      <c r="H218" t="s">
        <v>1133</v>
      </c>
      <c r="I218">
        <v>269</v>
      </c>
    </row>
    <row r="219" spans="1:9" x14ac:dyDescent="0.25">
      <c r="A219" t="s">
        <v>66</v>
      </c>
      <c r="B219" t="s">
        <v>325</v>
      </c>
      <c r="C219" t="s">
        <v>1115</v>
      </c>
      <c r="D219" t="s">
        <v>1122</v>
      </c>
      <c r="E219">
        <v>38.44</v>
      </c>
      <c r="F219">
        <v>887992</v>
      </c>
      <c r="G219" t="s">
        <v>1131</v>
      </c>
      <c r="H219" t="s">
        <v>1133</v>
      </c>
      <c r="I219">
        <v>270</v>
      </c>
    </row>
    <row r="220" spans="1:9" x14ac:dyDescent="0.25">
      <c r="A220" t="s">
        <v>90</v>
      </c>
      <c r="B220" t="s">
        <v>326</v>
      </c>
      <c r="C220" t="s">
        <v>1116</v>
      </c>
      <c r="D220" t="s">
        <v>1119</v>
      </c>
      <c r="E220">
        <v>97.29</v>
      </c>
      <c r="F220">
        <v>254873</v>
      </c>
      <c r="G220" t="s">
        <v>1130</v>
      </c>
      <c r="H220" t="s">
        <v>1134</v>
      </c>
      <c r="I220">
        <v>271</v>
      </c>
    </row>
    <row r="221" spans="1:9" x14ac:dyDescent="0.25">
      <c r="A221" t="s">
        <v>71</v>
      </c>
      <c r="B221" t="s">
        <v>327</v>
      </c>
      <c r="C221" t="s">
        <v>1116</v>
      </c>
      <c r="D221" t="s">
        <v>1127</v>
      </c>
      <c r="E221">
        <v>75.739999999999995</v>
      </c>
      <c r="F221">
        <v>550786</v>
      </c>
      <c r="G221" t="s">
        <v>1128</v>
      </c>
      <c r="H221" t="s">
        <v>1133</v>
      </c>
      <c r="I221">
        <v>272</v>
      </c>
    </row>
    <row r="222" spans="1:9" x14ac:dyDescent="0.25">
      <c r="A222" t="s">
        <v>55</v>
      </c>
      <c r="B222" t="s">
        <v>328</v>
      </c>
      <c r="C222" t="s">
        <v>1115</v>
      </c>
      <c r="D222" t="s">
        <v>1124</v>
      </c>
      <c r="E222">
        <v>37.36</v>
      </c>
      <c r="F222">
        <v>646518</v>
      </c>
      <c r="G222" t="s">
        <v>1131</v>
      </c>
      <c r="H222" t="s">
        <v>1133</v>
      </c>
      <c r="I222">
        <v>273</v>
      </c>
    </row>
    <row r="223" spans="1:9" x14ac:dyDescent="0.25">
      <c r="A223" t="s">
        <v>16</v>
      </c>
      <c r="B223" t="s">
        <v>329</v>
      </c>
      <c r="C223" t="s">
        <v>1117</v>
      </c>
      <c r="D223" t="s">
        <v>1127</v>
      </c>
      <c r="E223">
        <v>90.3</v>
      </c>
      <c r="F223">
        <v>444033</v>
      </c>
      <c r="G223" t="s">
        <v>1128</v>
      </c>
      <c r="H223" t="s">
        <v>1133</v>
      </c>
      <c r="I223">
        <v>274</v>
      </c>
    </row>
    <row r="224" spans="1:9" x14ac:dyDescent="0.25">
      <c r="A224" t="s">
        <v>23</v>
      </c>
      <c r="B224" t="s">
        <v>330</v>
      </c>
      <c r="C224" t="s">
        <v>1115</v>
      </c>
      <c r="D224" t="s">
        <v>1123</v>
      </c>
      <c r="E224">
        <v>41.67</v>
      </c>
      <c r="F224">
        <v>984262</v>
      </c>
      <c r="G224" t="s">
        <v>1128</v>
      </c>
      <c r="H224" t="s">
        <v>1133</v>
      </c>
      <c r="I224">
        <v>275</v>
      </c>
    </row>
    <row r="225" spans="1:9" x14ac:dyDescent="0.25">
      <c r="A225" t="s">
        <v>65</v>
      </c>
      <c r="B225" t="s">
        <v>331</v>
      </c>
      <c r="C225" t="s">
        <v>1109</v>
      </c>
      <c r="D225" t="s">
        <v>1126</v>
      </c>
      <c r="E225">
        <v>74.03</v>
      </c>
      <c r="F225">
        <v>441126</v>
      </c>
      <c r="G225" t="s">
        <v>1132</v>
      </c>
      <c r="H225" t="s">
        <v>1134</v>
      </c>
      <c r="I225">
        <v>276</v>
      </c>
    </row>
    <row r="226" spans="1:9" x14ac:dyDescent="0.25">
      <c r="A226" t="s">
        <v>23</v>
      </c>
      <c r="B226" t="s">
        <v>332</v>
      </c>
      <c r="C226" t="s">
        <v>1115</v>
      </c>
      <c r="D226" t="s">
        <v>1121</v>
      </c>
      <c r="E226">
        <v>55.9</v>
      </c>
      <c r="F226">
        <v>520566</v>
      </c>
      <c r="G226" t="s">
        <v>1128</v>
      </c>
      <c r="H226" t="s">
        <v>1133</v>
      </c>
      <c r="I226">
        <v>277</v>
      </c>
    </row>
    <row r="227" spans="1:9" x14ac:dyDescent="0.25">
      <c r="A227" t="s">
        <v>91</v>
      </c>
      <c r="B227" t="s">
        <v>333</v>
      </c>
      <c r="C227" t="s">
        <v>1108</v>
      </c>
      <c r="D227" t="s">
        <v>1127</v>
      </c>
      <c r="E227">
        <v>35.82</v>
      </c>
      <c r="F227">
        <v>749258</v>
      </c>
      <c r="G227" t="s">
        <v>1129</v>
      </c>
      <c r="H227" t="s">
        <v>1133</v>
      </c>
      <c r="I227">
        <v>278</v>
      </c>
    </row>
    <row r="228" spans="1:9" x14ac:dyDescent="0.25">
      <c r="A228" t="s">
        <v>66</v>
      </c>
      <c r="B228" t="s">
        <v>334</v>
      </c>
      <c r="C228" t="s">
        <v>1112</v>
      </c>
      <c r="D228" t="s">
        <v>1119</v>
      </c>
      <c r="E228">
        <v>74.849999999999994</v>
      </c>
      <c r="F228">
        <v>740450</v>
      </c>
      <c r="G228" t="s">
        <v>1128</v>
      </c>
      <c r="H228" t="s">
        <v>1133</v>
      </c>
      <c r="I228">
        <v>279</v>
      </c>
    </row>
    <row r="229" spans="1:9" x14ac:dyDescent="0.25">
      <c r="A229" t="s">
        <v>54</v>
      </c>
      <c r="B229" t="s">
        <v>335</v>
      </c>
      <c r="C229" t="s">
        <v>1117</v>
      </c>
      <c r="D229" t="s">
        <v>1125</v>
      </c>
      <c r="E229">
        <v>92.13</v>
      </c>
      <c r="F229">
        <v>798652</v>
      </c>
      <c r="G229" t="s">
        <v>1132</v>
      </c>
      <c r="H229" t="s">
        <v>1134</v>
      </c>
      <c r="I229">
        <v>280</v>
      </c>
    </row>
    <row r="230" spans="1:9" x14ac:dyDescent="0.25">
      <c r="A230" t="s">
        <v>57</v>
      </c>
      <c r="B230" t="s">
        <v>336</v>
      </c>
      <c r="C230" t="s">
        <v>1108</v>
      </c>
      <c r="D230" t="s">
        <v>1119</v>
      </c>
      <c r="E230">
        <v>98.84</v>
      </c>
      <c r="F230">
        <v>163288</v>
      </c>
      <c r="G230" t="s">
        <v>1128</v>
      </c>
      <c r="H230" t="s">
        <v>1133</v>
      </c>
      <c r="I230">
        <v>281</v>
      </c>
    </row>
    <row r="231" spans="1:9" x14ac:dyDescent="0.25">
      <c r="A231" t="s">
        <v>22</v>
      </c>
      <c r="B231" t="s">
        <v>337</v>
      </c>
      <c r="C231" t="s">
        <v>1111</v>
      </c>
      <c r="D231" t="s">
        <v>1122</v>
      </c>
      <c r="E231">
        <v>40.75</v>
      </c>
      <c r="F231">
        <v>938993</v>
      </c>
      <c r="G231" t="s">
        <v>1132</v>
      </c>
      <c r="H231" t="s">
        <v>1133</v>
      </c>
      <c r="I231">
        <v>282</v>
      </c>
    </row>
    <row r="232" spans="1:9" x14ac:dyDescent="0.25">
      <c r="A232" t="s">
        <v>92</v>
      </c>
      <c r="B232" t="s">
        <v>338</v>
      </c>
      <c r="C232" t="s">
        <v>1116</v>
      </c>
      <c r="D232" t="s">
        <v>1127</v>
      </c>
      <c r="E232">
        <v>95.73</v>
      </c>
      <c r="F232">
        <v>259407</v>
      </c>
      <c r="G232" t="s">
        <v>1128</v>
      </c>
      <c r="H232" t="s">
        <v>1133</v>
      </c>
      <c r="I232">
        <v>283</v>
      </c>
    </row>
    <row r="233" spans="1:9" x14ac:dyDescent="0.25">
      <c r="A233" t="s">
        <v>42</v>
      </c>
      <c r="B233" t="s">
        <v>339</v>
      </c>
      <c r="C233" t="s">
        <v>1116</v>
      </c>
      <c r="D233" t="s">
        <v>1125</v>
      </c>
      <c r="E233">
        <v>79.650000000000006</v>
      </c>
      <c r="F233">
        <v>261345</v>
      </c>
      <c r="G233" t="s">
        <v>1132</v>
      </c>
      <c r="H233" t="s">
        <v>1133</v>
      </c>
      <c r="I233">
        <v>284</v>
      </c>
    </row>
    <row r="234" spans="1:9" x14ac:dyDescent="0.25">
      <c r="A234" t="s">
        <v>23</v>
      </c>
      <c r="B234" t="s">
        <v>340</v>
      </c>
      <c r="C234" t="s">
        <v>1117</v>
      </c>
      <c r="D234" t="s">
        <v>1127</v>
      </c>
      <c r="E234">
        <v>82.3</v>
      </c>
      <c r="F234">
        <v>509332</v>
      </c>
      <c r="G234" t="s">
        <v>1131</v>
      </c>
      <c r="H234" t="s">
        <v>1134</v>
      </c>
      <c r="I234">
        <v>285</v>
      </c>
    </row>
    <row r="235" spans="1:9" x14ac:dyDescent="0.25">
      <c r="A235" t="s">
        <v>61</v>
      </c>
      <c r="B235" t="s">
        <v>341</v>
      </c>
      <c r="C235" t="s">
        <v>1109</v>
      </c>
      <c r="D235" t="s">
        <v>1123</v>
      </c>
      <c r="E235">
        <v>97.48</v>
      </c>
      <c r="F235">
        <v>453541</v>
      </c>
      <c r="G235" t="s">
        <v>1129</v>
      </c>
      <c r="H235" t="s">
        <v>1134</v>
      </c>
      <c r="I235">
        <v>286</v>
      </c>
    </row>
    <row r="236" spans="1:9" x14ac:dyDescent="0.25">
      <c r="A236" t="s">
        <v>91</v>
      </c>
      <c r="B236" t="s">
        <v>342</v>
      </c>
      <c r="C236" t="s">
        <v>1113</v>
      </c>
      <c r="D236" t="s">
        <v>1126</v>
      </c>
      <c r="E236">
        <v>59.28</v>
      </c>
      <c r="F236">
        <v>563628</v>
      </c>
      <c r="G236" t="s">
        <v>1131</v>
      </c>
      <c r="H236" t="s">
        <v>1133</v>
      </c>
      <c r="I236">
        <v>287</v>
      </c>
    </row>
    <row r="237" spans="1:9" x14ac:dyDescent="0.25">
      <c r="A237" t="s">
        <v>91</v>
      </c>
      <c r="B237" t="s">
        <v>343</v>
      </c>
      <c r="C237" t="s">
        <v>1115</v>
      </c>
      <c r="D237" t="s">
        <v>1118</v>
      </c>
      <c r="E237">
        <v>78.16</v>
      </c>
      <c r="F237">
        <v>397027</v>
      </c>
      <c r="G237" t="s">
        <v>1130</v>
      </c>
      <c r="H237" t="s">
        <v>1134</v>
      </c>
      <c r="I237">
        <v>288</v>
      </c>
    </row>
    <row r="238" spans="1:9" x14ac:dyDescent="0.25">
      <c r="A238" t="s">
        <v>47</v>
      </c>
      <c r="B238" t="s">
        <v>344</v>
      </c>
      <c r="C238" t="s">
        <v>1108</v>
      </c>
      <c r="D238" t="s">
        <v>1121</v>
      </c>
      <c r="E238">
        <v>78.53</v>
      </c>
      <c r="F238">
        <v>873289</v>
      </c>
      <c r="G238" t="s">
        <v>1128</v>
      </c>
      <c r="H238" t="s">
        <v>1134</v>
      </c>
      <c r="I238">
        <v>289</v>
      </c>
    </row>
    <row r="239" spans="1:9" x14ac:dyDescent="0.25">
      <c r="A239" t="s">
        <v>65</v>
      </c>
      <c r="B239" t="s">
        <v>345</v>
      </c>
      <c r="C239" t="s">
        <v>1114</v>
      </c>
      <c r="D239" t="s">
        <v>1120</v>
      </c>
      <c r="E239">
        <v>84.39</v>
      </c>
      <c r="F239">
        <v>543367</v>
      </c>
      <c r="G239" t="s">
        <v>1128</v>
      </c>
      <c r="H239" t="s">
        <v>1134</v>
      </c>
      <c r="I239">
        <v>290</v>
      </c>
    </row>
    <row r="240" spans="1:9" x14ac:dyDescent="0.25">
      <c r="A240" t="s">
        <v>28</v>
      </c>
      <c r="B240" t="s">
        <v>346</v>
      </c>
      <c r="C240" t="s">
        <v>1115</v>
      </c>
      <c r="D240" t="s">
        <v>1125</v>
      </c>
      <c r="E240">
        <v>44.36</v>
      </c>
      <c r="F240">
        <v>374896</v>
      </c>
      <c r="G240" t="s">
        <v>1128</v>
      </c>
      <c r="H240" t="s">
        <v>1133</v>
      </c>
      <c r="I240">
        <v>291</v>
      </c>
    </row>
    <row r="241" spans="1:9" x14ac:dyDescent="0.25">
      <c r="A241" t="s">
        <v>62</v>
      </c>
      <c r="B241" t="s">
        <v>347</v>
      </c>
      <c r="C241" t="s">
        <v>1116</v>
      </c>
      <c r="D241" t="s">
        <v>1121</v>
      </c>
      <c r="E241">
        <v>55.72</v>
      </c>
      <c r="F241">
        <v>604047</v>
      </c>
      <c r="G241" t="s">
        <v>1132</v>
      </c>
      <c r="H241" t="s">
        <v>1134</v>
      </c>
      <c r="I241">
        <v>292</v>
      </c>
    </row>
    <row r="242" spans="1:9" x14ac:dyDescent="0.25">
      <c r="A242" t="s">
        <v>50</v>
      </c>
      <c r="B242" t="s">
        <v>348</v>
      </c>
      <c r="C242" t="s">
        <v>1115</v>
      </c>
      <c r="D242" t="s">
        <v>1125</v>
      </c>
      <c r="E242">
        <v>97.29</v>
      </c>
      <c r="F242">
        <v>615543</v>
      </c>
      <c r="G242" t="s">
        <v>1131</v>
      </c>
      <c r="H242" t="s">
        <v>1133</v>
      </c>
      <c r="I242">
        <v>293</v>
      </c>
    </row>
    <row r="243" spans="1:9" x14ac:dyDescent="0.25">
      <c r="A243" t="s">
        <v>72</v>
      </c>
      <c r="B243" t="s">
        <v>349</v>
      </c>
      <c r="C243" t="s">
        <v>1115</v>
      </c>
      <c r="D243" t="s">
        <v>1119</v>
      </c>
      <c r="E243">
        <v>51.88</v>
      </c>
      <c r="F243">
        <v>572395</v>
      </c>
      <c r="G243" t="s">
        <v>1131</v>
      </c>
      <c r="H243" t="s">
        <v>1133</v>
      </c>
      <c r="I243">
        <v>294</v>
      </c>
    </row>
    <row r="244" spans="1:9" x14ac:dyDescent="0.25">
      <c r="A244" t="s">
        <v>32</v>
      </c>
      <c r="B244" t="s">
        <v>350</v>
      </c>
      <c r="C244" t="s">
        <v>1114</v>
      </c>
      <c r="D244" t="s">
        <v>1120</v>
      </c>
      <c r="E244">
        <v>83.48</v>
      </c>
      <c r="F244">
        <v>212661</v>
      </c>
      <c r="G244" t="s">
        <v>1128</v>
      </c>
      <c r="H244" t="s">
        <v>1134</v>
      </c>
      <c r="I244">
        <v>295</v>
      </c>
    </row>
    <row r="245" spans="1:9" x14ac:dyDescent="0.25">
      <c r="A245" t="s">
        <v>30</v>
      </c>
      <c r="B245" t="s">
        <v>351</v>
      </c>
      <c r="C245" t="s">
        <v>1117</v>
      </c>
      <c r="D245" t="s">
        <v>1119</v>
      </c>
      <c r="E245">
        <v>35.630000000000003</v>
      </c>
      <c r="F245">
        <v>505131</v>
      </c>
      <c r="G245" t="s">
        <v>1132</v>
      </c>
      <c r="H245" t="s">
        <v>1133</v>
      </c>
      <c r="I245">
        <v>296</v>
      </c>
    </row>
    <row r="246" spans="1:9" x14ac:dyDescent="0.25">
      <c r="A246" t="s">
        <v>60</v>
      </c>
      <c r="B246" t="s">
        <v>352</v>
      </c>
      <c r="C246" t="s">
        <v>1116</v>
      </c>
      <c r="D246" t="s">
        <v>1125</v>
      </c>
      <c r="E246">
        <v>81.739999999999995</v>
      </c>
      <c r="F246">
        <v>824812</v>
      </c>
      <c r="G246" t="s">
        <v>1130</v>
      </c>
      <c r="H246" t="s">
        <v>1133</v>
      </c>
      <c r="I246">
        <v>297</v>
      </c>
    </row>
    <row r="247" spans="1:9" x14ac:dyDescent="0.25">
      <c r="A247" t="s">
        <v>52</v>
      </c>
      <c r="B247" t="s">
        <v>353</v>
      </c>
      <c r="C247" t="s">
        <v>1109</v>
      </c>
      <c r="D247" t="s">
        <v>1123</v>
      </c>
      <c r="E247">
        <v>94.42</v>
      </c>
      <c r="F247">
        <v>763998</v>
      </c>
      <c r="G247" t="s">
        <v>1128</v>
      </c>
      <c r="H247" t="s">
        <v>1133</v>
      </c>
      <c r="I247">
        <v>298</v>
      </c>
    </row>
    <row r="248" spans="1:9" x14ac:dyDescent="0.25">
      <c r="A248" t="s">
        <v>58</v>
      </c>
      <c r="B248" t="s">
        <v>354</v>
      </c>
      <c r="C248" t="s">
        <v>1111</v>
      </c>
      <c r="D248" t="s">
        <v>1127</v>
      </c>
      <c r="E248">
        <v>78.87</v>
      </c>
      <c r="F248">
        <v>623111</v>
      </c>
      <c r="G248" t="s">
        <v>1132</v>
      </c>
      <c r="H248" t="s">
        <v>1133</v>
      </c>
      <c r="I248">
        <v>299</v>
      </c>
    </row>
    <row r="249" spans="1:9" x14ac:dyDescent="0.25">
      <c r="A249" t="s">
        <v>29</v>
      </c>
      <c r="B249" t="s">
        <v>355</v>
      </c>
      <c r="C249" t="s">
        <v>1113</v>
      </c>
      <c r="D249" t="s">
        <v>1120</v>
      </c>
      <c r="E249">
        <v>62.32</v>
      </c>
      <c r="F249">
        <v>907166</v>
      </c>
      <c r="G249" t="s">
        <v>1128</v>
      </c>
      <c r="H249" t="s">
        <v>1133</v>
      </c>
      <c r="I249">
        <v>300</v>
      </c>
    </row>
    <row r="250" spans="1:9" x14ac:dyDescent="0.25">
      <c r="A250" t="s">
        <v>29</v>
      </c>
      <c r="B250" t="s">
        <v>356</v>
      </c>
      <c r="C250" t="s">
        <v>1109</v>
      </c>
      <c r="D250" t="s">
        <v>1124</v>
      </c>
      <c r="E250">
        <v>67.069999999999993</v>
      </c>
      <c r="F250">
        <v>153897</v>
      </c>
      <c r="G250" t="s">
        <v>1128</v>
      </c>
      <c r="H250" t="s">
        <v>1133</v>
      </c>
    </row>
    <row r="251" spans="1:9" x14ac:dyDescent="0.25">
      <c r="A251" t="s">
        <v>33</v>
      </c>
      <c r="B251" t="s">
        <v>357</v>
      </c>
      <c r="C251" t="s">
        <v>1114</v>
      </c>
      <c r="D251" t="s">
        <v>1121</v>
      </c>
      <c r="E251">
        <v>99.55</v>
      </c>
      <c r="F251">
        <v>890976</v>
      </c>
      <c r="G251" t="s">
        <v>1132</v>
      </c>
      <c r="H251" t="s">
        <v>1133</v>
      </c>
    </row>
    <row r="252" spans="1:9" x14ac:dyDescent="0.25">
      <c r="A252" t="s">
        <v>93</v>
      </c>
      <c r="B252" t="s">
        <v>358</v>
      </c>
      <c r="C252" t="s">
        <v>1114</v>
      </c>
      <c r="D252" t="s">
        <v>1126</v>
      </c>
      <c r="E252">
        <v>42.61</v>
      </c>
      <c r="F252">
        <v>651103</v>
      </c>
      <c r="G252" t="s">
        <v>1131</v>
      </c>
      <c r="H252" t="s">
        <v>1134</v>
      </c>
    </row>
    <row r="253" spans="1:9" x14ac:dyDescent="0.25">
      <c r="A253" t="s">
        <v>16</v>
      </c>
      <c r="B253" t="s">
        <v>359</v>
      </c>
      <c r="C253" t="s">
        <v>1111</v>
      </c>
      <c r="D253" t="s">
        <v>1119</v>
      </c>
      <c r="E253">
        <v>48.8</v>
      </c>
      <c r="F253">
        <v>754323</v>
      </c>
      <c r="G253" t="s">
        <v>1131</v>
      </c>
      <c r="H253" t="s">
        <v>1133</v>
      </c>
    </row>
    <row r="254" spans="1:9" x14ac:dyDescent="0.25">
      <c r="A254" t="s">
        <v>92</v>
      </c>
      <c r="B254" t="s">
        <v>360</v>
      </c>
      <c r="C254" t="s">
        <v>1115</v>
      </c>
      <c r="D254" t="s">
        <v>1123</v>
      </c>
      <c r="E254">
        <v>80.739999999999995</v>
      </c>
      <c r="F254">
        <v>870323</v>
      </c>
      <c r="G254" t="s">
        <v>1129</v>
      </c>
      <c r="H254" t="s">
        <v>1134</v>
      </c>
    </row>
    <row r="255" spans="1:9" x14ac:dyDescent="0.25">
      <c r="A255" t="s">
        <v>57</v>
      </c>
      <c r="B255" t="s">
        <v>361</v>
      </c>
      <c r="C255" t="s">
        <v>1116</v>
      </c>
      <c r="D255" t="s">
        <v>1120</v>
      </c>
      <c r="E255">
        <v>91.15</v>
      </c>
      <c r="F255">
        <v>558812</v>
      </c>
      <c r="G255" t="s">
        <v>1130</v>
      </c>
      <c r="H255" t="s">
        <v>1133</v>
      </c>
    </row>
    <row r="256" spans="1:9" x14ac:dyDescent="0.25">
      <c r="A256" t="s">
        <v>17</v>
      </c>
      <c r="B256" t="s">
        <v>362</v>
      </c>
      <c r="C256" t="s">
        <v>1108</v>
      </c>
      <c r="D256" t="s">
        <v>1125</v>
      </c>
      <c r="E256">
        <v>84.7</v>
      </c>
      <c r="F256">
        <v>294071</v>
      </c>
      <c r="G256" t="s">
        <v>1130</v>
      </c>
      <c r="H256" t="s">
        <v>1133</v>
      </c>
    </row>
    <row r="257" spans="1:8" x14ac:dyDescent="0.25">
      <c r="A257" t="s">
        <v>17</v>
      </c>
      <c r="B257" t="s">
        <v>363</v>
      </c>
      <c r="C257" t="s">
        <v>1112</v>
      </c>
      <c r="D257" t="s">
        <v>1120</v>
      </c>
      <c r="E257">
        <v>62.05</v>
      </c>
      <c r="F257">
        <v>958906</v>
      </c>
      <c r="G257" t="s">
        <v>1128</v>
      </c>
      <c r="H257" t="s">
        <v>1134</v>
      </c>
    </row>
    <row r="258" spans="1:8" x14ac:dyDescent="0.25">
      <c r="A258" t="s">
        <v>56</v>
      </c>
      <c r="B258" t="s">
        <v>364</v>
      </c>
      <c r="C258" t="s">
        <v>1111</v>
      </c>
      <c r="D258" t="s">
        <v>1124</v>
      </c>
      <c r="E258">
        <v>41.19</v>
      </c>
      <c r="F258">
        <v>365899</v>
      </c>
      <c r="G258" t="s">
        <v>1129</v>
      </c>
      <c r="H258" t="s">
        <v>1133</v>
      </c>
    </row>
    <row r="259" spans="1:8" x14ac:dyDescent="0.25">
      <c r="A259" t="s">
        <v>31</v>
      </c>
      <c r="B259" t="s">
        <v>365</v>
      </c>
      <c r="C259" t="s">
        <v>1112</v>
      </c>
      <c r="D259" t="s">
        <v>1121</v>
      </c>
      <c r="E259">
        <v>42.27</v>
      </c>
      <c r="F259">
        <v>599012</v>
      </c>
      <c r="G259" t="s">
        <v>1132</v>
      </c>
      <c r="H259" t="s">
        <v>1133</v>
      </c>
    </row>
    <row r="260" spans="1:8" x14ac:dyDescent="0.25">
      <c r="A260" t="s">
        <v>94</v>
      </c>
      <c r="B260" t="s">
        <v>366</v>
      </c>
      <c r="C260" t="s">
        <v>1115</v>
      </c>
      <c r="D260" t="s">
        <v>1125</v>
      </c>
      <c r="E260">
        <v>56.93</v>
      </c>
      <c r="F260">
        <v>736457</v>
      </c>
      <c r="G260" t="s">
        <v>1130</v>
      </c>
      <c r="H260" t="s">
        <v>1133</v>
      </c>
    </row>
    <row r="261" spans="1:8" x14ac:dyDescent="0.25">
      <c r="A261" t="s">
        <v>28</v>
      </c>
      <c r="B261" t="s">
        <v>367</v>
      </c>
      <c r="C261" t="s">
        <v>1115</v>
      </c>
      <c r="D261" t="s">
        <v>1127</v>
      </c>
      <c r="E261">
        <v>42.83</v>
      </c>
      <c r="F261">
        <v>441315</v>
      </c>
      <c r="G261" t="s">
        <v>1131</v>
      </c>
      <c r="H261" t="s">
        <v>1134</v>
      </c>
    </row>
    <row r="262" spans="1:8" x14ac:dyDescent="0.25">
      <c r="A262" t="s">
        <v>95</v>
      </c>
      <c r="B262" t="s">
        <v>368</v>
      </c>
      <c r="C262" t="s">
        <v>1116</v>
      </c>
      <c r="D262" t="s">
        <v>1126</v>
      </c>
      <c r="E262">
        <v>82.59</v>
      </c>
      <c r="F262">
        <v>622282</v>
      </c>
      <c r="G262" t="s">
        <v>1131</v>
      </c>
      <c r="H262" t="s">
        <v>1133</v>
      </c>
    </row>
    <row r="263" spans="1:8" x14ac:dyDescent="0.25">
      <c r="A263" t="s">
        <v>75</v>
      </c>
      <c r="B263" t="s">
        <v>369</v>
      </c>
      <c r="C263" t="s">
        <v>1116</v>
      </c>
      <c r="D263" t="s">
        <v>1121</v>
      </c>
      <c r="E263">
        <v>62.54</v>
      </c>
      <c r="F263">
        <v>536088</v>
      </c>
      <c r="G263" t="s">
        <v>1132</v>
      </c>
      <c r="H263" t="s">
        <v>1133</v>
      </c>
    </row>
    <row r="264" spans="1:8" x14ac:dyDescent="0.25">
      <c r="A264" t="s">
        <v>25</v>
      </c>
      <c r="B264" t="s">
        <v>370</v>
      </c>
      <c r="C264" t="s">
        <v>1114</v>
      </c>
      <c r="D264" t="s">
        <v>1123</v>
      </c>
      <c r="E264">
        <v>52.9</v>
      </c>
      <c r="F264">
        <v>198312</v>
      </c>
      <c r="G264" t="s">
        <v>1131</v>
      </c>
      <c r="H264" t="s">
        <v>1134</v>
      </c>
    </row>
    <row r="265" spans="1:8" x14ac:dyDescent="0.25">
      <c r="A265" t="s">
        <v>91</v>
      </c>
      <c r="B265" t="s">
        <v>371</v>
      </c>
      <c r="C265" t="s">
        <v>1117</v>
      </c>
      <c r="D265" t="s">
        <v>1124</v>
      </c>
      <c r="E265">
        <v>75.58</v>
      </c>
      <c r="F265">
        <v>864858</v>
      </c>
      <c r="G265" t="s">
        <v>1130</v>
      </c>
      <c r="H265" t="s">
        <v>1134</v>
      </c>
    </row>
    <row r="266" spans="1:8" x14ac:dyDescent="0.25">
      <c r="A266" t="s">
        <v>21</v>
      </c>
      <c r="B266" t="s">
        <v>372</v>
      </c>
      <c r="C266" t="s">
        <v>1112</v>
      </c>
      <c r="D266" t="s">
        <v>1127</v>
      </c>
      <c r="E266">
        <v>35.15</v>
      </c>
      <c r="F266">
        <v>841057</v>
      </c>
      <c r="G266" t="s">
        <v>1131</v>
      </c>
      <c r="H266" t="s">
        <v>1133</v>
      </c>
    </row>
    <row r="267" spans="1:8" x14ac:dyDescent="0.25">
      <c r="A267" t="s">
        <v>90</v>
      </c>
      <c r="B267" t="s">
        <v>373</v>
      </c>
      <c r="C267" t="s">
        <v>1117</v>
      </c>
      <c r="D267" t="s">
        <v>1119</v>
      </c>
      <c r="E267">
        <v>78.89</v>
      </c>
      <c r="F267">
        <v>635499</v>
      </c>
      <c r="G267" t="s">
        <v>1131</v>
      </c>
      <c r="H267" t="s">
        <v>1133</v>
      </c>
    </row>
    <row r="268" spans="1:8" x14ac:dyDescent="0.25">
      <c r="A268" t="s">
        <v>90</v>
      </c>
      <c r="B268" t="s">
        <v>374</v>
      </c>
      <c r="C268" t="s">
        <v>1116</v>
      </c>
      <c r="D268" t="s">
        <v>1126</v>
      </c>
      <c r="E268">
        <v>48.29</v>
      </c>
      <c r="F268">
        <v>516400</v>
      </c>
      <c r="G268" t="s">
        <v>1132</v>
      </c>
      <c r="H268" t="s">
        <v>1133</v>
      </c>
    </row>
    <row r="269" spans="1:8" x14ac:dyDescent="0.25">
      <c r="A269" t="s">
        <v>34</v>
      </c>
      <c r="B269" t="s">
        <v>375</v>
      </c>
      <c r="C269" t="s">
        <v>1112</v>
      </c>
      <c r="D269" t="s">
        <v>1122</v>
      </c>
      <c r="E269">
        <v>59.61</v>
      </c>
      <c r="F269">
        <v>221154</v>
      </c>
      <c r="G269" t="s">
        <v>1132</v>
      </c>
      <c r="H269" t="s">
        <v>1133</v>
      </c>
    </row>
    <row r="270" spans="1:8" x14ac:dyDescent="0.25">
      <c r="A270" t="s">
        <v>74</v>
      </c>
      <c r="B270" t="s">
        <v>376</v>
      </c>
      <c r="C270" t="s">
        <v>1114</v>
      </c>
      <c r="D270" t="s">
        <v>1127</v>
      </c>
      <c r="E270">
        <v>48.25</v>
      </c>
      <c r="F270">
        <v>424014</v>
      </c>
      <c r="G270" t="s">
        <v>1130</v>
      </c>
      <c r="H270" t="s">
        <v>1133</v>
      </c>
    </row>
    <row r="271" spans="1:8" x14ac:dyDescent="0.25">
      <c r="A271" t="s">
        <v>21</v>
      </c>
      <c r="B271" t="s">
        <v>377</v>
      </c>
      <c r="C271" t="s">
        <v>1117</v>
      </c>
      <c r="D271" t="s">
        <v>1125</v>
      </c>
      <c r="E271">
        <v>82.38</v>
      </c>
      <c r="F271">
        <v>181976</v>
      </c>
      <c r="G271" t="s">
        <v>1132</v>
      </c>
      <c r="H271" t="s">
        <v>1133</v>
      </c>
    </row>
    <row r="272" spans="1:8" x14ac:dyDescent="0.25">
      <c r="A272" t="s">
        <v>16</v>
      </c>
      <c r="B272" t="s">
        <v>378</v>
      </c>
      <c r="C272" t="s">
        <v>1111</v>
      </c>
      <c r="D272" t="s">
        <v>1127</v>
      </c>
      <c r="E272">
        <v>68.52</v>
      </c>
      <c r="F272">
        <v>646820</v>
      </c>
      <c r="G272" t="s">
        <v>1131</v>
      </c>
      <c r="H272" t="s">
        <v>1134</v>
      </c>
    </row>
    <row r="273" spans="1:8" x14ac:dyDescent="0.25">
      <c r="A273" t="s">
        <v>72</v>
      </c>
      <c r="B273" t="s">
        <v>379</v>
      </c>
      <c r="C273" t="s">
        <v>1110</v>
      </c>
      <c r="D273" t="s">
        <v>1123</v>
      </c>
      <c r="E273">
        <v>55.29</v>
      </c>
      <c r="F273">
        <v>684458</v>
      </c>
      <c r="G273" t="s">
        <v>1131</v>
      </c>
      <c r="H273" t="s">
        <v>1133</v>
      </c>
    </row>
    <row r="274" spans="1:8" x14ac:dyDescent="0.25">
      <c r="A274" t="s">
        <v>85</v>
      </c>
      <c r="B274" t="s">
        <v>380</v>
      </c>
      <c r="C274" t="s">
        <v>1115</v>
      </c>
      <c r="D274" t="s">
        <v>1125</v>
      </c>
      <c r="E274">
        <v>41.38</v>
      </c>
      <c r="F274">
        <v>455590</v>
      </c>
      <c r="G274" t="s">
        <v>1132</v>
      </c>
      <c r="H274" t="s">
        <v>1133</v>
      </c>
    </row>
    <row r="275" spans="1:8" x14ac:dyDescent="0.25">
      <c r="A275" t="s">
        <v>37</v>
      </c>
      <c r="B275" t="s">
        <v>381</v>
      </c>
      <c r="C275" t="s">
        <v>1113</v>
      </c>
      <c r="D275" t="s">
        <v>1127</v>
      </c>
      <c r="E275">
        <v>62.23</v>
      </c>
      <c r="F275">
        <v>747501</v>
      </c>
      <c r="G275" t="s">
        <v>1132</v>
      </c>
      <c r="H275" t="s">
        <v>1133</v>
      </c>
    </row>
    <row r="276" spans="1:8" x14ac:dyDescent="0.25">
      <c r="A276" t="s">
        <v>67</v>
      </c>
      <c r="B276" t="s">
        <v>382</v>
      </c>
      <c r="C276" t="s">
        <v>1112</v>
      </c>
      <c r="D276" t="s">
        <v>1120</v>
      </c>
      <c r="E276">
        <v>86.26</v>
      </c>
      <c r="F276">
        <v>304757</v>
      </c>
      <c r="G276" t="s">
        <v>1131</v>
      </c>
      <c r="H276" t="s">
        <v>1133</v>
      </c>
    </row>
    <row r="277" spans="1:8" x14ac:dyDescent="0.25">
      <c r="A277" t="s">
        <v>32</v>
      </c>
      <c r="B277" t="s">
        <v>383</v>
      </c>
      <c r="C277" t="s">
        <v>1117</v>
      </c>
      <c r="D277" t="s">
        <v>1118</v>
      </c>
      <c r="E277">
        <v>91.93</v>
      </c>
      <c r="F277">
        <v>128471</v>
      </c>
      <c r="G277" t="s">
        <v>1131</v>
      </c>
      <c r="H277" t="s">
        <v>1133</v>
      </c>
    </row>
    <row r="278" spans="1:8" x14ac:dyDescent="0.25">
      <c r="A278" t="s">
        <v>10</v>
      </c>
      <c r="B278" t="s">
        <v>384</v>
      </c>
      <c r="C278" t="s">
        <v>1111</v>
      </c>
      <c r="D278" t="s">
        <v>1122</v>
      </c>
      <c r="E278">
        <v>67.77</v>
      </c>
      <c r="F278">
        <v>278335</v>
      </c>
      <c r="G278" t="s">
        <v>1128</v>
      </c>
      <c r="H278" t="s">
        <v>1133</v>
      </c>
    </row>
    <row r="279" spans="1:8" x14ac:dyDescent="0.25">
      <c r="A279" t="s">
        <v>63</v>
      </c>
      <c r="B279" t="s">
        <v>385</v>
      </c>
      <c r="C279" t="s">
        <v>1108</v>
      </c>
      <c r="D279" t="s">
        <v>1123</v>
      </c>
      <c r="E279">
        <v>52.71</v>
      </c>
      <c r="F279">
        <v>219249</v>
      </c>
      <c r="G279" t="s">
        <v>1128</v>
      </c>
      <c r="H279" t="s">
        <v>1133</v>
      </c>
    </row>
    <row r="280" spans="1:8" x14ac:dyDescent="0.25">
      <c r="A280" t="s">
        <v>37</v>
      </c>
      <c r="B280" t="s">
        <v>386</v>
      </c>
      <c r="C280" t="s">
        <v>1111</v>
      </c>
      <c r="D280" t="s">
        <v>1124</v>
      </c>
      <c r="E280">
        <v>93.45</v>
      </c>
      <c r="F280">
        <v>942924</v>
      </c>
      <c r="G280" t="s">
        <v>1131</v>
      </c>
      <c r="H280" t="s">
        <v>1133</v>
      </c>
    </row>
    <row r="281" spans="1:8" x14ac:dyDescent="0.25">
      <c r="A281" t="s">
        <v>64</v>
      </c>
      <c r="B281" t="s">
        <v>387</v>
      </c>
      <c r="C281" t="s">
        <v>1115</v>
      </c>
      <c r="D281" t="s">
        <v>1119</v>
      </c>
      <c r="E281">
        <v>87.97</v>
      </c>
      <c r="F281">
        <v>477075</v>
      </c>
      <c r="G281" t="s">
        <v>1130</v>
      </c>
      <c r="H281" t="s">
        <v>1133</v>
      </c>
    </row>
    <row r="282" spans="1:8" x14ac:dyDescent="0.25">
      <c r="A282" t="s">
        <v>71</v>
      </c>
      <c r="B282" t="s">
        <v>388</v>
      </c>
      <c r="C282" t="s">
        <v>1110</v>
      </c>
      <c r="D282" t="s">
        <v>1122</v>
      </c>
      <c r="E282">
        <v>91.49</v>
      </c>
      <c r="F282">
        <v>558798</v>
      </c>
      <c r="G282" t="s">
        <v>1130</v>
      </c>
      <c r="H282" t="s">
        <v>1133</v>
      </c>
    </row>
    <row r="283" spans="1:8" x14ac:dyDescent="0.25">
      <c r="A283" t="s">
        <v>25</v>
      </c>
      <c r="B283" t="s">
        <v>389</v>
      </c>
      <c r="C283" t="s">
        <v>1108</v>
      </c>
      <c r="D283" t="s">
        <v>1119</v>
      </c>
      <c r="E283">
        <v>82.03</v>
      </c>
      <c r="F283">
        <v>889117</v>
      </c>
      <c r="G283" t="s">
        <v>1128</v>
      </c>
      <c r="H283" t="s">
        <v>1133</v>
      </c>
    </row>
    <row r="284" spans="1:8" x14ac:dyDescent="0.25">
      <c r="A284" t="s">
        <v>96</v>
      </c>
      <c r="B284" t="s">
        <v>390</v>
      </c>
      <c r="C284" t="s">
        <v>1112</v>
      </c>
      <c r="D284" t="s">
        <v>1123</v>
      </c>
      <c r="E284">
        <v>91.2</v>
      </c>
      <c r="F284">
        <v>420522</v>
      </c>
      <c r="G284" t="s">
        <v>1130</v>
      </c>
      <c r="H284" t="s">
        <v>1133</v>
      </c>
    </row>
    <row r="285" spans="1:8" x14ac:dyDescent="0.25">
      <c r="A285" t="s">
        <v>97</v>
      </c>
      <c r="B285" t="s">
        <v>391</v>
      </c>
      <c r="C285" t="s">
        <v>1110</v>
      </c>
      <c r="D285" t="s">
        <v>1123</v>
      </c>
      <c r="E285">
        <v>59.89</v>
      </c>
      <c r="F285">
        <v>655849</v>
      </c>
      <c r="G285" t="s">
        <v>1131</v>
      </c>
      <c r="H285" t="s">
        <v>1134</v>
      </c>
    </row>
    <row r="286" spans="1:8" x14ac:dyDescent="0.25">
      <c r="A286" t="s">
        <v>98</v>
      </c>
      <c r="B286" t="s">
        <v>392</v>
      </c>
      <c r="C286" t="s">
        <v>1111</v>
      </c>
      <c r="D286" t="s">
        <v>1127</v>
      </c>
      <c r="E286">
        <v>58.11</v>
      </c>
      <c r="F286">
        <v>649155</v>
      </c>
      <c r="G286" t="s">
        <v>1131</v>
      </c>
      <c r="H286" t="s">
        <v>1133</v>
      </c>
    </row>
    <row r="287" spans="1:8" x14ac:dyDescent="0.25">
      <c r="A287" t="s">
        <v>89</v>
      </c>
      <c r="B287" t="s">
        <v>393</v>
      </c>
      <c r="C287" t="s">
        <v>1113</v>
      </c>
      <c r="D287" t="s">
        <v>1123</v>
      </c>
      <c r="E287">
        <v>59.03</v>
      </c>
      <c r="F287">
        <v>371932</v>
      </c>
      <c r="G287" t="s">
        <v>1129</v>
      </c>
      <c r="H287" t="s">
        <v>1133</v>
      </c>
    </row>
    <row r="288" spans="1:8" x14ac:dyDescent="0.25">
      <c r="A288" t="s">
        <v>74</v>
      </c>
      <c r="B288" t="s">
        <v>394</v>
      </c>
      <c r="C288" t="s">
        <v>1110</v>
      </c>
      <c r="D288" t="s">
        <v>1126</v>
      </c>
      <c r="E288">
        <v>35.770000000000003</v>
      </c>
      <c r="F288">
        <v>657696</v>
      </c>
      <c r="G288" t="s">
        <v>1131</v>
      </c>
      <c r="H288" t="s">
        <v>1134</v>
      </c>
    </row>
    <row r="289" spans="1:8" x14ac:dyDescent="0.25">
      <c r="A289" t="s">
        <v>97</v>
      </c>
      <c r="B289" t="s">
        <v>395</v>
      </c>
      <c r="C289" t="s">
        <v>1113</v>
      </c>
      <c r="D289" t="s">
        <v>1119</v>
      </c>
      <c r="E289">
        <v>36.32</v>
      </c>
      <c r="F289">
        <v>264149</v>
      </c>
      <c r="G289" t="s">
        <v>1131</v>
      </c>
      <c r="H289" t="s">
        <v>1133</v>
      </c>
    </row>
    <row r="290" spans="1:8" x14ac:dyDescent="0.25">
      <c r="A290" t="s">
        <v>23</v>
      </c>
      <c r="B290" t="s">
        <v>396</v>
      </c>
      <c r="C290" t="s">
        <v>1108</v>
      </c>
      <c r="D290" t="s">
        <v>1118</v>
      </c>
      <c r="E290">
        <v>45.35</v>
      </c>
      <c r="F290">
        <v>289082</v>
      </c>
      <c r="G290" t="s">
        <v>1132</v>
      </c>
      <c r="H290" t="s">
        <v>1133</v>
      </c>
    </row>
    <row r="291" spans="1:8" x14ac:dyDescent="0.25">
      <c r="A291" t="s">
        <v>69</v>
      </c>
      <c r="B291" t="s">
        <v>397</v>
      </c>
      <c r="C291" t="s">
        <v>1115</v>
      </c>
      <c r="D291" t="s">
        <v>1126</v>
      </c>
      <c r="E291">
        <v>62.5</v>
      </c>
      <c r="F291">
        <v>658514</v>
      </c>
      <c r="G291" t="s">
        <v>1130</v>
      </c>
      <c r="H291" t="s">
        <v>1133</v>
      </c>
    </row>
    <row r="292" spans="1:8" x14ac:dyDescent="0.25">
      <c r="A292" t="s">
        <v>47</v>
      </c>
      <c r="B292" t="s">
        <v>398</v>
      </c>
      <c r="C292" t="s">
        <v>1112</v>
      </c>
      <c r="D292" t="s">
        <v>1126</v>
      </c>
      <c r="E292">
        <v>49.96</v>
      </c>
      <c r="F292">
        <v>743999</v>
      </c>
      <c r="G292" t="s">
        <v>1130</v>
      </c>
      <c r="H292" t="s">
        <v>1133</v>
      </c>
    </row>
    <row r="293" spans="1:8" x14ac:dyDescent="0.25">
      <c r="A293" t="s">
        <v>37</v>
      </c>
      <c r="B293" t="s">
        <v>399</v>
      </c>
      <c r="C293" t="s">
        <v>1110</v>
      </c>
      <c r="D293" t="s">
        <v>1118</v>
      </c>
      <c r="E293">
        <v>55.62</v>
      </c>
      <c r="F293">
        <v>693631</v>
      </c>
      <c r="G293" t="s">
        <v>1132</v>
      </c>
      <c r="H293" t="s">
        <v>1133</v>
      </c>
    </row>
    <row r="294" spans="1:8" x14ac:dyDescent="0.25">
      <c r="A294" t="s">
        <v>69</v>
      </c>
      <c r="B294" t="s">
        <v>400</v>
      </c>
      <c r="C294" t="s">
        <v>1114</v>
      </c>
      <c r="D294" t="s">
        <v>1122</v>
      </c>
      <c r="E294">
        <v>82.14</v>
      </c>
      <c r="F294">
        <v>762198</v>
      </c>
      <c r="G294" t="s">
        <v>1128</v>
      </c>
      <c r="H294" t="s">
        <v>1134</v>
      </c>
    </row>
    <row r="295" spans="1:8" x14ac:dyDescent="0.25">
      <c r="A295" t="s">
        <v>80</v>
      </c>
      <c r="B295" t="s">
        <v>401</v>
      </c>
      <c r="C295" t="s">
        <v>1110</v>
      </c>
      <c r="D295" t="s">
        <v>1122</v>
      </c>
      <c r="E295">
        <v>92.24</v>
      </c>
      <c r="F295">
        <v>363861</v>
      </c>
      <c r="G295" t="s">
        <v>1130</v>
      </c>
      <c r="H295" t="s">
        <v>1133</v>
      </c>
    </row>
    <row r="296" spans="1:8" x14ac:dyDescent="0.25">
      <c r="A296" t="s">
        <v>98</v>
      </c>
      <c r="B296" t="s">
        <v>402</v>
      </c>
      <c r="C296" t="s">
        <v>1111</v>
      </c>
      <c r="D296" t="s">
        <v>1123</v>
      </c>
      <c r="E296">
        <v>46.57</v>
      </c>
      <c r="F296">
        <v>132678</v>
      </c>
      <c r="G296" t="s">
        <v>1131</v>
      </c>
      <c r="H296" t="s">
        <v>1133</v>
      </c>
    </row>
    <row r="297" spans="1:8" x14ac:dyDescent="0.25">
      <c r="A297" t="s">
        <v>41</v>
      </c>
      <c r="B297" t="s">
        <v>403</v>
      </c>
      <c r="C297" t="s">
        <v>1113</v>
      </c>
      <c r="D297" t="s">
        <v>1126</v>
      </c>
      <c r="E297">
        <v>97.39</v>
      </c>
      <c r="F297">
        <v>698152</v>
      </c>
      <c r="G297" t="s">
        <v>1131</v>
      </c>
      <c r="H297" t="s">
        <v>1133</v>
      </c>
    </row>
    <row r="298" spans="1:8" x14ac:dyDescent="0.25">
      <c r="A298" t="s">
        <v>88</v>
      </c>
      <c r="B298" t="s">
        <v>404</v>
      </c>
      <c r="C298" t="s">
        <v>1108</v>
      </c>
      <c r="D298" t="s">
        <v>1123</v>
      </c>
      <c r="E298">
        <v>62.61</v>
      </c>
      <c r="F298">
        <v>490273</v>
      </c>
      <c r="G298" t="s">
        <v>1132</v>
      </c>
      <c r="H298" t="s">
        <v>1133</v>
      </c>
    </row>
    <row r="299" spans="1:8" x14ac:dyDescent="0.25">
      <c r="A299" t="s">
        <v>93</v>
      </c>
      <c r="B299" t="s">
        <v>405</v>
      </c>
      <c r="C299" t="s">
        <v>1116</v>
      </c>
      <c r="D299" t="s">
        <v>1123</v>
      </c>
      <c r="E299">
        <v>69.34</v>
      </c>
      <c r="F299">
        <v>689074</v>
      </c>
      <c r="G299" t="s">
        <v>1130</v>
      </c>
      <c r="H299" t="s">
        <v>1134</v>
      </c>
    </row>
    <row r="300" spans="1:8" x14ac:dyDescent="0.25">
      <c r="A300" t="s">
        <v>29</v>
      </c>
      <c r="B300" t="s">
        <v>406</v>
      </c>
      <c r="C300" t="s">
        <v>1113</v>
      </c>
      <c r="D300" t="s">
        <v>1120</v>
      </c>
      <c r="E300">
        <v>80.05</v>
      </c>
      <c r="F300">
        <v>711753</v>
      </c>
      <c r="G300" t="s">
        <v>1132</v>
      </c>
      <c r="H300" t="s">
        <v>1134</v>
      </c>
    </row>
    <row r="301" spans="1:8" x14ac:dyDescent="0.25">
      <c r="A301" t="s">
        <v>22</v>
      </c>
      <c r="B301" t="s">
        <v>407</v>
      </c>
      <c r="C301" t="s">
        <v>1111</v>
      </c>
      <c r="D301" t="s">
        <v>1125</v>
      </c>
      <c r="E301">
        <v>36.54</v>
      </c>
      <c r="F301">
        <v>571168</v>
      </c>
      <c r="G301" t="s">
        <v>1132</v>
      </c>
      <c r="H301" t="s">
        <v>1134</v>
      </c>
    </row>
    <row r="302" spans="1:8" x14ac:dyDescent="0.25">
      <c r="A302" t="s">
        <v>99</v>
      </c>
      <c r="B302" t="s">
        <v>408</v>
      </c>
      <c r="C302" t="s">
        <v>1115</v>
      </c>
      <c r="D302" t="s">
        <v>1122</v>
      </c>
      <c r="E302">
        <v>52.09</v>
      </c>
      <c r="F302">
        <v>416314</v>
      </c>
      <c r="G302" t="s">
        <v>1131</v>
      </c>
      <c r="H302" t="s">
        <v>1133</v>
      </c>
    </row>
    <row r="303" spans="1:8" x14ac:dyDescent="0.25">
      <c r="A303" t="s">
        <v>45</v>
      </c>
      <c r="B303" t="s">
        <v>409</v>
      </c>
      <c r="C303" t="s">
        <v>1108</v>
      </c>
      <c r="D303" t="s">
        <v>1124</v>
      </c>
      <c r="E303">
        <v>99.18</v>
      </c>
      <c r="F303">
        <v>593966</v>
      </c>
      <c r="G303" t="s">
        <v>1128</v>
      </c>
      <c r="H303" t="s">
        <v>1134</v>
      </c>
    </row>
    <row r="304" spans="1:8" x14ac:dyDescent="0.25">
      <c r="A304" t="s">
        <v>41</v>
      </c>
      <c r="B304" t="s">
        <v>410</v>
      </c>
      <c r="C304" t="s">
        <v>1108</v>
      </c>
      <c r="D304" t="s">
        <v>1121</v>
      </c>
      <c r="E304">
        <v>80.760000000000005</v>
      </c>
      <c r="F304">
        <v>980173</v>
      </c>
      <c r="G304" t="s">
        <v>1132</v>
      </c>
      <c r="H304" t="s">
        <v>1133</v>
      </c>
    </row>
    <row r="305" spans="1:8" x14ac:dyDescent="0.25">
      <c r="A305" t="s">
        <v>99</v>
      </c>
      <c r="B305" t="s">
        <v>411</v>
      </c>
      <c r="C305" t="s">
        <v>1109</v>
      </c>
      <c r="D305" t="s">
        <v>1120</v>
      </c>
      <c r="E305">
        <v>74.150000000000006</v>
      </c>
      <c r="F305">
        <v>283700</v>
      </c>
      <c r="G305" t="s">
        <v>1132</v>
      </c>
      <c r="H305" t="s">
        <v>1133</v>
      </c>
    </row>
    <row r="306" spans="1:8" x14ac:dyDescent="0.25">
      <c r="A306" t="s">
        <v>77</v>
      </c>
      <c r="B306" t="s">
        <v>412</v>
      </c>
      <c r="C306" t="s">
        <v>1115</v>
      </c>
      <c r="D306" t="s">
        <v>1120</v>
      </c>
      <c r="E306">
        <v>49.79</v>
      </c>
      <c r="F306">
        <v>986323</v>
      </c>
      <c r="G306" t="s">
        <v>1131</v>
      </c>
      <c r="H306" t="s">
        <v>1133</v>
      </c>
    </row>
    <row r="307" spans="1:8" x14ac:dyDescent="0.25">
      <c r="A307" t="s">
        <v>52</v>
      </c>
      <c r="B307" t="s">
        <v>413</v>
      </c>
      <c r="C307" t="s">
        <v>1108</v>
      </c>
      <c r="D307" t="s">
        <v>1118</v>
      </c>
      <c r="E307">
        <v>41.47</v>
      </c>
      <c r="F307">
        <v>414035</v>
      </c>
      <c r="G307" t="s">
        <v>1131</v>
      </c>
      <c r="H307" t="s">
        <v>1134</v>
      </c>
    </row>
    <row r="308" spans="1:8" x14ac:dyDescent="0.25">
      <c r="A308" t="s">
        <v>47</v>
      </c>
      <c r="B308" t="s">
        <v>414</v>
      </c>
      <c r="C308" t="s">
        <v>1113</v>
      </c>
      <c r="D308" t="s">
        <v>1127</v>
      </c>
      <c r="E308">
        <v>90.77</v>
      </c>
      <c r="F308">
        <v>712717</v>
      </c>
      <c r="G308" t="s">
        <v>1130</v>
      </c>
      <c r="H308" t="s">
        <v>1133</v>
      </c>
    </row>
    <row r="309" spans="1:8" x14ac:dyDescent="0.25">
      <c r="A309" t="s">
        <v>28</v>
      </c>
      <c r="B309" t="s">
        <v>415</v>
      </c>
      <c r="C309" t="s">
        <v>1115</v>
      </c>
      <c r="D309" t="s">
        <v>1122</v>
      </c>
      <c r="E309">
        <v>73.040000000000006</v>
      </c>
      <c r="F309">
        <v>434581</v>
      </c>
      <c r="G309" t="s">
        <v>1132</v>
      </c>
      <c r="H309" t="s">
        <v>1133</v>
      </c>
    </row>
    <row r="310" spans="1:8" x14ac:dyDescent="0.25">
      <c r="A310" t="s">
        <v>27</v>
      </c>
      <c r="B310" t="s">
        <v>416</v>
      </c>
      <c r="C310" t="s">
        <v>1108</v>
      </c>
      <c r="D310" t="s">
        <v>1120</v>
      </c>
      <c r="E310">
        <v>52.87</v>
      </c>
      <c r="F310">
        <v>757027</v>
      </c>
      <c r="G310" t="s">
        <v>1131</v>
      </c>
      <c r="H310" t="s">
        <v>1134</v>
      </c>
    </row>
    <row r="311" spans="1:8" x14ac:dyDescent="0.25">
      <c r="A311" t="s">
        <v>50</v>
      </c>
      <c r="B311" t="s">
        <v>417</v>
      </c>
      <c r="C311" t="s">
        <v>1116</v>
      </c>
      <c r="D311" t="s">
        <v>1120</v>
      </c>
      <c r="E311">
        <v>51.28</v>
      </c>
      <c r="F311">
        <v>199594</v>
      </c>
      <c r="G311" t="s">
        <v>1132</v>
      </c>
      <c r="H311" t="s">
        <v>1133</v>
      </c>
    </row>
    <row r="312" spans="1:8" x14ac:dyDescent="0.25">
      <c r="A312" t="s">
        <v>69</v>
      </c>
      <c r="B312" t="s">
        <v>418</v>
      </c>
      <c r="C312" t="s">
        <v>1110</v>
      </c>
      <c r="D312" t="s">
        <v>1127</v>
      </c>
      <c r="E312">
        <v>72.11</v>
      </c>
      <c r="F312">
        <v>832088</v>
      </c>
      <c r="G312" t="s">
        <v>1129</v>
      </c>
      <c r="H312" t="s">
        <v>1134</v>
      </c>
    </row>
    <row r="313" spans="1:8" x14ac:dyDescent="0.25">
      <c r="A313" t="s">
        <v>81</v>
      </c>
      <c r="B313" t="s">
        <v>419</v>
      </c>
      <c r="C313" t="s">
        <v>1115</v>
      </c>
      <c r="D313" t="s">
        <v>1124</v>
      </c>
      <c r="E313">
        <v>96.73</v>
      </c>
      <c r="F313">
        <v>881181</v>
      </c>
      <c r="G313" t="s">
        <v>1130</v>
      </c>
      <c r="H313" t="s">
        <v>1133</v>
      </c>
    </row>
    <row r="314" spans="1:8" x14ac:dyDescent="0.25">
      <c r="A314" t="s">
        <v>100</v>
      </c>
      <c r="B314" t="s">
        <v>420</v>
      </c>
      <c r="C314" t="s">
        <v>1110</v>
      </c>
      <c r="D314" t="s">
        <v>1127</v>
      </c>
      <c r="E314">
        <v>58.07</v>
      </c>
      <c r="F314">
        <v>670906</v>
      </c>
      <c r="G314" t="s">
        <v>1128</v>
      </c>
      <c r="H314" t="s">
        <v>1133</v>
      </c>
    </row>
    <row r="315" spans="1:8" x14ac:dyDescent="0.25">
      <c r="A315" t="s">
        <v>85</v>
      </c>
      <c r="B315" t="s">
        <v>421</v>
      </c>
      <c r="C315" t="s">
        <v>1109</v>
      </c>
      <c r="D315" t="s">
        <v>1126</v>
      </c>
      <c r="E315">
        <v>54.6</v>
      </c>
      <c r="F315">
        <v>266752</v>
      </c>
      <c r="G315" t="s">
        <v>1130</v>
      </c>
      <c r="H315" t="s">
        <v>1134</v>
      </c>
    </row>
    <row r="316" spans="1:8" x14ac:dyDescent="0.25">
      <c r="A316" t="s">
        <v>75</v>
      </c>
      <c r="B316" t="s">
        <v>422</v>
      </c>
      <c r="C316" t="s">
        <v>1110</v>
      </c>
      <c r="D316" t="s">
        <v>1120</v>
      </c>
      <c r="E316">
        <v>96.48</v>
      </c>
      <c r="F316">
        <v>128482</v>
      </c>
      <c r="G316" t="s">
        <v>1129</v>
      </c>
      <c r="H316" t="s">
        <v>1133</v>
      </c>
    </row>
    <row r="317" spans="1:8" x14ac:dyDescent="0.25">
      <c r="A317" t="s">
        <v>101</v>
      </c>
      <c r="B317" t="s">
        <v>423</v>
      </c>
      <c r="C317" t="s">
        <v>1110</v>
      </c>
      <c r="D317" t="s">
        <v>1119</v>
      </c>
      <c r="E317">
        <v>44.37</v>
      </c>
      <c r="F317">
        <v>500843</v>
      </c>
      <c r="G317" t="s">
        <v>1128</v>
      </c>
      <c r="H317" t="s">
        <v>1133</v>
      </c>
    </row>
    <row r="318" spans="1:8" x14ac:dyDescent="0.25">
      <c r="A318" t="s">
        <v>19</v>
      </c>
      <c r="B318" t="s">
        <v>424</v>
      </c>
      <c r="C318" t="s">
        <v>1109</v>
      </c>
      <c r="D318" t="s">
        <v>1122</v>
      </c>
      <c r="E318">
        <v>75.5</v>
      </c>
      <c r="F318">
        <v>154433</v>
      </c>
      <c r="G318" t="s">
        <v>1128</v>
      </c>
      <c r="H318" t="s">
        <v>1133</v>
      </c>
    </row>
    <row r="319" spans="1:8" x14ac:dyDescent="0.25">
      <c r="A319" t="s">
        <v>21</v>
      </c>
      <c r="B319" t="s">
        <v>425</v>
      </c>
      <c r="C319" t="s">
        <v>1108</v>
      </c>
      <c r="D319" t="s">
        <v>1123</v>
      </c>
      <c r="E319">
        <v>97.61</v>
      </c>
      <c r="F319">
        <v>538531</v>
      </c>
      <c r="G319" t="s">
        <v>1129</v>
      </c>
      <c r="H319" t="s">
        <v>1133</v>
      </c>
    </row>
    <row r="320" spans="1:8" x14ac:dyDescent="0.25">
      <c r="A320" t="s">
        <v>57</v>
      </c>
      <c r="B320" t="s">
        <v>426</v>
      </c>
      <c r="C320" t="s">
        <v>1115</v>
      </c>
      <c r="D320" t="s">
        <v>1120</v>
      </c>
      <c r="E320">
        <v>67.81</v>
      </c>
      <c r="F320">
        <v>844261</v>
      </c>
      <c r="G320" t="s">
        <v>1128</v>
      </c>
      <c r="H320" t="s">
        <v>1133</v>
      </c>
    </row>
    <row r="321" spans="1:8" x14ac:dyDescent="0.25">
      <c r="A321" t="s">
        <v>9</v>
      </c>
      <c r="B321" t="s">
        <v>427</v>
      </c>
      <c r="C321" t="s">
        <v>1109</v>
      </c>
      <c r="D321" t="s">
        <v>1126</v>
      </c>
      <c r="E321">
        <v>56.47</v>
      </c>
      <c r="F321">
        <v>759718</v>
      </c>
      <c r="G321" t="s">
        <v>1130</v>
      </c>
      <c r="H321" t="s">
        <v>1133</v>
      </c>
    </row>
    <row r="322" spans="1:8" x14ac:dyDescent="0.25">
      <c r="A322" t="s">
        <v>41</v>
      </c>
      <c r="B322" t="s">
        <v>428</v>
      </c>
      <c r="C322" t="s">
        <v>1111</v>
      </c>
      <c r="D322" t="s">
        <v>1119</v>
      </c>
      <c r="E322">
        <v>36.46</v>
      </c>
      <c r="F322">
        <v>828328</v>
      </c>
      <c r="G322" t="s">
        <v>1129</v>
      </c>
      <c r="H322" t="s">
        <v>1134</v>
      </c>
    </row>
    <row r="323" spans="1:8" x14ac:dyDescent="0.25">
      <c r="A323" t="s">
        <v>35</v>
      </c>
      <c r="B323" t="s">
        <v>429</v>
      </c>
      <c r="C323" t="s">
        <v>1110</v>
      </c>
      <c r="D323" t="s">
        <v>1126</v>
      </c>
      <c r="E323">
        <v>56.84</v>
      </c>
      <c r="F323">
        <v>371078</v>
      </c>
      <c r="G323" t="s">
        <v>1132</v>
      </c>
      <c r="H323" t="s">
        <v>1133</v>
      </c>
    </row>
    <row r="324" spans="1:8" x14ac:dyDescent="0.25">
      <c r="A324" t="s">
        <v>32</v>
      </c>
      <c r="B324" t="s">
        <v>430</v>
      </c>
      <c r="C324" t="s">
        <v>1112</v>
      </c>
      <c r="D324" t="s">
        <v>1121</v>
      </c>
      <c r="E324">
        <v>82.69</v>
      </c>
      <c r="F324">
        <v>856417</v>
      </c>
      <c r="G324" t="s">
        <v>1132</v>
      </c>
      <c r="H324" t="s">
        <v>1133</v>
      </c>
    </row>
    <row r="325" spans="1:8" x14ac:dyDescent="0.25">
      <c r="A325" t="s">
        <v>100</v>
      </c>
      <c r="B325" t="s">
        <v>431</v>
      </c>
      <c r="C325" t="s">
        <v>1109</v>
      </c>
      <c r="D325" t="s">
        <v>1126</v>
      </c>
      <c r="E325">
        <v>75.62</v>
      </c>
      <c r="F325">
        <v>198553</v>
      </c>
      <c r="G325" t="s">
        <v>1130</v>
      </c>
      <c r="H325" t="s">
        <v>1134</v>
      </c>
    </row>
    <row r="326" spans="1:8" x14ac:dyDescent="0.25">
      <c r="A326" t="s">
        <v>25</v>
      </c>
      <c r="B326" t="s">
        <v>432</v>
      </c>
      <c r="C326" t="s">
        <v>1113</v>
      </c>
      <c r="D326" t="s">
        <v>1125</v>
      </c>
      <c r="E326">
        <v>75.239999999999995</v>
      </c>
      <c r="F326">
        <v>740723</v>
      </c>
      <c r="G326" t="s">
        <v>1128</v>
      </c>
      <c r="H326" t="s">
        <v>1133</v>
      </c>
    </row>
    <row r="327" spans="1:8" x14ac:dyDescent="0.25">
      <c r="A327" t="s">
        <v>43</v>
      </c>
      <c r="B327" t="s">
        <v>433</v>
      </c>
      <c r="C327" t="s">
        <v>1114</v>
      </c>
      <c r="D327" t="s">
        <v>1119</v>
      </c>
      <c r="E327">
        <v>57.18</v>
      </c>
      <c r="F327">
        <v>147215</v>
      </c>
      <c r="G327" t="s">
        <v>1130</v>
      </c>
      <c r="H327" t="s">
        <v>1133</v>
      </c>
    </row>
    <row r="328" spans="1:8" x14ac:dyDescent="0.25">
      <c r="A328" t="s">
        <v>94</v>
      </c>
      <c r="B328" t="s">
        <v>434</v>
      </c>
      <c r="C328" t="s">
        <v>1112</v>
      </c>
      <c r="D328" t="s">
        <v>1127</v>
      </c>
      <c r="E328">
        <v>68.55</v>
      </c>
      <c r="F328">
        <v>834481</v>
      </c>
      <c r="G328" t="s">
        <v>1128</v>
      </c>
      <c r="H328" t="s">
        <v>1133</v>
      </c>
    </row>
    <row r="329" spans="1:8" x14ac:dyDescent="0.25">
      <c r="A329" t="s">
        <v>62</v>
      </c>
      <c r="B329" t="s">
        <v>435</v>
      </c>
      <c r="C329" t="s">
        <v>1109</v>
      </c>
      <c r="D329" t="s">
        <v>1126</v>
      </c>
      <c r="E329">
        <v>65.39</v>
      </c>
      <c r="F329">
        <v>352240</v>
      </c>
      <c r="G329" t="s">
        <v>1128</v>
      </c>
      <c r="H329" t="s">
        <v>1133</v>
      </c>
    </row>
    <row r="330" spans="1:8" x14ac:dyDescent="0.25">
      <c r="A330" t="s">
        <v>49</v>
      </c>
      <c r="B330" t="s">
        <v>436</v>
      </c>
      <c r="C330" t="s">
        <v>1110</v>
      </c>
      <c r="D330" t="s">
        <v>1125</v>
      </c>
      <c r="E330">
        <v>38.58</v>
      </c>
      <c r="F330">
        <v>758312</v>
      </c>
      <c r="G330" t="s">
        <v>1129</v>
      </c>
      <c r="H330" t="s">
        <v>1133</v>
      </c>
    </row>
    <row r="331" spans="1:8" x14ac:dyDescent="0.25">
      <c r="A331" t="s">
        <v>22</v>
      </c>
      <c r="B331" t="s">
        <v>437</v>
      </c>
      <c r="C331" t="s">
        <v>1111</v>
      </c>
      <c r="D331" t="s">
        <v>1124</v>
      </c>
      <c r="E331">
        <v>43.76</v>
      </c>
      <c r="F331">
        <v>223317</v>
      </c>
      <c r="G331" t="s">
        <v>1131</v>
      </c>
      <c r="H331" t="s">
        <v>1134</v>
      </c>
    </row>
    <row r="332" spans="1:8" x14ac:dyDescent="0.25">
      <c r="A332" t="s">
        <v>18</v>
      </c>
      <c r="B332" t="s">
        <v>438</v>
      </c>
      <c r="C332" t="s">
        <v>1111</v>
      </c>
      <c r="D332" t="s">
        <v>1120</v>
      </c>
      <c r="E332">
        <v>35.880000000000003</v>
      </c>
      <c r="F332">
        <v>107967</v>
      </c>
      <c r="G332" t="s">
        <v>1131</v>
      </c>
      <c r="H332" t="s">
        <v>1134</v>
      </c>
    </row>
    <row r="333" spans="1:8" x14ac:dyDescent="0.25">
      <c r="A333" t="s">
        <v>75</v>
      </c>
      <c r="B333" t="s">
        <v>439</v>
      </c>
      <c r="C333" t="s">
        <v>1108</v>
      </c>
      <c r="D333" t="s">
        <v>1119</v>
      </c>
      <c r="E333">
        <v>66.459999999999994</v>
      </c>
      <c r="F333">
        <v>590289</v>
      </c>
      <c r="G333" t="s">
        <v>1128</v>
      </c>
      <c r="H333" t="s">
        <v>1133</v>
      </c>
    </row>
    <row r="334" spans="1:8" x14ac:dyDescent="0.25">
      <c r="A334" t="s">
        <v>42</v>
      </c>
      <c r="B334" t="s">
        <v>440</v>
      </c>
      <c r="C334" t="s">
        <v>1113</v>
      </c>
      <c r="D334" t="s">
        <v>1126</v>
      </c>
      <c r="E334">
        <v>71.73</v>
      </c>
      <c r="F334">
        <v>152982</v>
      </c>
      <c r="G334" t="s">
        <v>1132</v>
      </c>
      <c r="H334" t="s">
        <v>1134</v>
      </c>
    </row>
    <row r="335" spans="1:8" x14ac:dyDescent="0.25">
      <c r="A335" t="s">
        <v>33</v>
      </c>
      <c r="B335" t="s">
        <v>441</v>
      </c>
      <c r="C335" t="s">
        <v>1116</v>
      </c>
      <c r="D335" t="s">
        <v>1124</v>
      </c>
      <c r="E335">
        <v>39.04</v>
      </c>
      <c r="F335">
        <v>830302</v>
      </c>
      <c r="G335" t="s">
        <v>1131</v>
      </c>
      <c r="H335" t="s">
        <v>1133</v>
      </c>
    </row>
    <row r="336" spans="1:8" x14ac:dyDescent="0.25">
      <c r="A336" t="s">
        <v>26</v>
      </c>
      <c r="B336" t="s">
        <v>442</v>
      </c>
      <c r="C336" t="s">
        <v>1115</v>
      </c>
      <c r="D336" t="s">
        <v>1123</v>
      </c>
      <c r="E336">
        <v>39.58</v>
      </c>
      <c r="F336">
        <v>257973</v>
      </c>
      <c r="G336" t="s">
        <v>1128</v>
      </c>
      <c r="H336" t="s">
        <v>1133</v>
      </c>
    </row>
    <row r="337" spans="1:8" x14ac:dyDescent="0.25">
      <c r="A337" t="s">
        <v>39</v>
      </c>
      <c r="B337" t="s">
        <v>443</v>
      </c>
      <c r="C337" t="s">
        <v>1108</v>
      </c>
      <c r="D337" t="s">
        <v>1123</v>
      </c>
      <c r="E337">
        <v>61.87</v>
      </c>
      <c r="F337">
        <v>640100</v>
      </c>
      <c r="G337" t="s">
        <v>1132</v>
      </c>
      <c r="H337" t="s">
        <v>1133</v>
      </c>
    </row>
    <row r="338" spans="1:8" x14ac:dyDescent="0.25">
      <c r="A338" t="s">
        <v>63</v>
      </c>
      <c r="B338" t="s">
        <v>444</v>
      </c>
      <c r="C338" t="s">
        <v>1114</v>
      </c>
      <c r="D338" t="s">
        <v>1123</v>
      </c>
      <c r="E338">
        <v>50.75</v>
      </c>
      <c r="F338">
        <v>805075</v>
      </c>
      <c r="G338" t="s">
        <v>1132</v>
      </c>
      <c r="H338" t="s">
        <v>1133</v>
      </c>
    </row>
    <row r="339" spans="1:8" x14ac:dyDescent="0.25">
      <c r="A339" t="s">
        <v>98</v>
      </c>
      <c r="B339" t="s">
        <v>445</v>
      </c>
      <c r="C339" t="s">
        <v>1111</v>
      </c>
      <c r="D339" t="s">
        <v>1118</v>
      </c>
      <c r="E339">
        <v>98.48</v>
      </c>
      <c r="F339">
        <v>777338</v>
      </c>
      <c r="G339" t="s">
        <v>1128</v>
      </c>
      <c r="H339" t="s">
        <v>1134</v>
      </c>
    </row>
    <row r="340" spans="1:8" x14ac:dyDescent="0.25">
      <c r="A340" t="s">
        <v>81</v>
      </c>
      <c r="B340" t="s">
        <v>446</v>
      </c>
      <c r="C340" t="s">
        <v>1117</v>
      </c>
      <c r="D340" t="s">
        <v>1118</v>
      </c>
      <c r="E340">
        <v>40.94</v>
      </c>
      <c r="F340">
        <v>995399</v>
      </c>
      <c r="G340" t="s">
        <v>1131</v>
      </c>
      <c r="H340" t="s">
        <v>1134</v>
      </c>
    </row>
    <row r="341" spans="1:8" x14ac:dyDescent="0.25">
      <c r="A341" t="s">
        <v>64</v>
      </c>
      <c r="B341" t="s">
        <v>447</v>
      </c>
      <c r="C341" t="s">
        <v>1109</v>
      </c>
      <c r="D341" t="s">
        <v>1127</v>
      </c>
      <c r="E341">
        <v>82.59</v>
      </c>
      <c r="F341">
        <v>660757</v>
      </c>
      <c r="G341" t="s">
        <v>1129</v>
      </c>
      <c r="H341" t="s">
        <v>1134</v>
      </c>
    </row>
    <row r="342" spans="1:8" x14ac:dyDescent="0.25">
      <c r="A342" t="s">
        <v>77</v>
      </c>
      <c r="B342" t="s">
        <v>448</v>
      </c>
      <c r="C342" t="s">
        <v>1113</v>
      </c>
      <c r="D342" t="s">
        <v>1120</v>
      </c>
      <c r="E342">
        <v>56.8</v>
      </c>
      <c r="F342">
        <v>308841</v>
      </c>
      <c r="G342" t="s">
        <v>1129</v>
      </c>
      <c r="H342" t="s">
        <v>1133</v>
      </c>
    </row>
    <row r="343" spans="1:8" x14ac:dyDescent="0.25">
      <c r="A343" t="s">
        <v>10</v>
      </c>
      <c r="B343" t="s">
        <v>449</v>
      </c>
      <c r="C343" t="s">
        <v>1112</v>
      </c>
      <c r="D343" t="s">
        <v>1121</v>
      </c>
      <c r="E343">
        <v>46.33</v>
      </c>
      <c r="F343">
        <v>638698</v>
      </c>
      <c r="G343" t="s">
        <v>1130</v>
      </c>
      <c r="H343" t="s">
        <v>1133</v>
      </c>
    </row>
    <row r="344" spans="1:8" x14ac:dyDescent="0.25">
      <c r="A344" t="s">
        <v>46</v>
      </c>
      <c r="B344" t="s">
        <v>450</v>
      </c>
      <c r="C344" t="s">
        <v>1117</v>
      </c>
      <c r="D344" t="s">
        <v>1118</v>
      </c>
      <c r="E344">
        <v>86.41</v>
      </c>
      <c r="F344">
        <v>498137</v>
      </c>
      <c r="G344" t="s">
        <v>1129</v>
      </c>
      <c r="H344" t="s">
        <v>1133</v>
      </c>
    </row>
    <row r="345" spans="1:8" x14ac:dyDescent="0.25">
      <c r="A345" t="s">
        <v>12</v>
      </c>
      <c r="B345" t="s">
        <v>451</v>
      </c>
      <c r="C345" t="s">
        <v>1111</v>
      </c>
      <c r="D345" t="s">
        <v>1127</v>
      </c>
      <c r="E345">
        <v>81.78</v>
      </c>
      <c r="F345">
        <v>207562</v>
      </c>
      <c r="G345" t="s">
        <v>1129</v>
      </c>
      <c r="H345" t="s">
        <v>1134</v>
      </c>
    </row>
    <row r="346" spans="1:8" x14ac:dyDescent="0.25">
      <c r="A346" t="s">
        <v>62</v>
      </c>
      <c r="B346" t="s">
        <v>452</v>
      </c>
      <c r="C346" t="s">
        <v>1112</v>
      </c>
      <c r="D346" t="s">
        <v>1124</v>
      </c>
      <c r="E346">
        <v>56.67</v>
      </c>
      <c r="F346">
        <v>517617</v>
      </c>
      <c r="G346" t="s">
        <v>1130</v>
      </c>
      <c r="H346" t="s">
        <v>1133</v>
      </c>
    </row>
    <row r="347" spans="1:8" x14ac:dyDescent="0.25">
      <c r="A347" t="s">
        <v>31</v>
      </c>
      <c r="B347" t="s">
        <v>453</v>
      </c>
      <c r="C347" t="s">
        <v>1116</v>
      </c>
      <c r="D347" t="s">
        <v>1124</v>
      </c>
      <c r="E347">
        <v>77.209999999999994</v>
      </c>
      <c r="F347">
        <v>247175</v>
      </c>
      <c r="G347" t="s">
        <v>1130</v>
      </c>
      <c r="H347" t="s">
        <v>1133</v>
      </c>
    </row>
    <row r="348" spans="1:8" x14ac:dyDescent="0.25">
      <c r="A348" t="s">
        <v>52</v>
      </c>
      <c r="B348" t="s">
        <v>454</v>
      </c>
      <c r="C348" t="s">
        <v>1111</v>
      </c>
      <c r="D348" t="s">
        <v>1121</v>
      </c>
      <c r="E348">
        <v>70.209999999999994</v>
      </c>
      <c r="F348">
        <v>878643</v>
      </c>
      <c r="G348" t="s">
        <v>1132</v>
      </c>
      <c r="H348" t="s">
        <v>1133</v>
      </c>
    </row>
    <row r="349" spans="1:8" x14ac:dyDescent="0.25">
      <c r="A349" t="s">
        <v>42</v>
      </c>
      <c r="B349" t="s">
        <v>455</v>
      </c>
      <c r="C349" t="s">
        <v>1111</v>
      </c>
      <c r="D349" t="s">
        <v>1119</v>
      </c>
      <c r="E349">
        <v>77.930000000000007</v>
      </c>
      <c r="F349">
        <v>594087</v>
      </c>
      <c r="G349" t="s">
        <v>1131</v>
      </c>
      <c r="H349" t="s">
        <v>1133</v>
      </c>
    </row>
    <row r="350" spans="1:8" x14ac:dyDescent="0.25">
      <c r="A350" t="s">
        <v>50</v>
      </c>
      <c r="B350" t="s">
        <v>456</v>
      </c>
      <c r="C350" t="s">
        <v>1110</v>
      </c>
      <c r="D350" t="s">
        <v>1119</v>
      </c>
      <c r="E350">
        <v>67.2</v>
      </c>
      <c r="F350">
        <v>963694</v>
      </c>
      <c r="G350" t="s">
        <v>1128</v>
      </c>
      <c r="H350" t="s">
        <v>1134</v>
      </c>
    </row>
    <row r="351" spans="1:8" x14ac:dyDescent="0.25">
      <c r="A351" t="s">
        <v>75</v>
      </c>
      <c r="B351" t="s">
        <v>457</v>
      </c>
      <c r="C351" t="s">
        <v>1110</v>
      </c>
      <c r="D351" t="s">
        <v>1122</v>
      </c>
      <c r="E351">
        <v>63.49</v>
      </c>
      <c r="F351">
        <v>439032</v>
      </c>
      <c r="G351" t="s">
        <v>1128</v>
      </c>
      <c r="H351" t="s">
        <v>1133</v>
      </c>
    </row>
    <row r="352" spans="1:8" x14ac:dyDescent="0.25">
      <c r="A352" t="s">
        <v>58</v>
      </c>
      <c r="B352" t="s">
        <v>458</v>
      </c>
      <c r="C352" t="s">
        <v>1112</v>
      </c>
      <c r="D352" t="s">
        <v>1125</v>
      </c>
      <c r="E352">
        <v>74.39</v>
      </c>
      <c r="F352">
        <v>384038</v>
      </c>
      <c r="G352" t="s">
        <v>1128</v>
      </c>
      <c r="H352" t="s">
        <v>1133</v>
      </c>
    </row>
    <row r="353" spans="1:8" x14ac:dyDescent="0.25">
      <c r="A353" t="s">
        <v>102</v>
      </c>
      <c r="B353" t="s">
        <v>459</v>
      </c>
      <c r="C353" t="s">
        <v>1114</v>
      </c>
      <c r="D353" t="s">
        <v>1122</v>
      </c>
      <c r="E353">
        <v>65.91</v>
      </c>
      <c r="F353">
        <v>405716</v>
      </c>
      <c r="G353" t="s">
        <v>1132</v>
      </c>
      <c r="H353" t="s">
        <v>1133</v>
      </c>
    </row>
    <row r="354" spans="1:8" x14ac:dyDescent="0.25">
      <c r="A354" t="s">
        <v>47</v>
      </c>
      <c r="B354" t="s">
        <v>460</v>
      </c>
      <c r="C354" t="s">
        <v>1110</v>
      </c>
      <c r="D354" t="s">
        <v>1118</v>
      </c>
      <c r="E354">
        <v>66.900000000000006</v>
      </c>
      <c r="F354">
        <v>469864</v>
      </c>
      <c r="G354" t="s">
        <v>1129</v>
      </c>
      <c r="H354" t="s">
        <v>1133</v>
      </c>
    </row>
    <row r="355" spans="1:8" x14ac:dyDescent="0.25">
      <c r="A355" t="s">
        <v>36</v>
      </c>
      <c r="B355" t="s">
        <v>461</v>
      </c>
      <c r="C355" t="s">
        <v>1113</v>
      </c>
      <c r="D355" t="s">
        <v>1123</v>
      </c>
      <c r="E355">
        <v>93.22</v>
      </c>
      <c r="F355">
        <v>447610</v>
      </c>
      <c r="G355" t="s">
        <v>1131</v>
      </c>
      <c r="H355" t="s">
        <v>1133</v>
      </c>
    </row>
    <row r="356" spans="1:8" x14ac:dyDescent="0.25">
      <c r="A356" t="s">
        <v>24</v>
      </c>
      <c r="B356" t="s">
        <v>462</v>
      </c>
      <c r="C356" t="s">
        <v>1109</v>
      </c>
      <c r="D356" t="s">
        <v>1124</v>
      </c>
      <c r="E356">
        <v>47.82</v>
      </c>
      <c r="F356">
        <v>947607</v>
      </c>
      <c r="G356" t="s">
        <v>1128</v>
      </c>
      <c r="H356" t="s">
        <v>1133</v>
      </c>
    </row>
    <row r="357" spans="1:8" x14ac:dyDescent="0.25">
      <c r="A357" t="s">
        <v>58</v>
      </c>
      <c r="B357" t="s">
        <v>463</v>
      </c>
      <c r="C357" t="s">
        <v>1109</v>
      </c>
      <c r="D357" t="s">
        <v>1124</v>
      </c>
      <c r="E357">
        <v>87.91</v>
      </c>
      <c r="F357">
        <v>992628</v>
      </c>
      <c r="G357" t="s">
        <v>1132</v>
      </c>
      <c r="H357" t="s">
        <v>1134</v>
      </c>
    </row>
    <row r="358" spans="1:8" x14ac:dyDescent="0.25">
      <c r="A358" t="s">
        <v>17</v>
      </c>
      <c r="B358" t="s">
        <v>464</v>
      </c>
      <c r="C358" t="s">
        <v>1108</v>
      </c>
      <c r="D358" t="s">
        <v>1124</v>
      </c>
      <c r="E358">
        <v>59.37</v>
      </c>
      <c r="F358">
        <v>888984</v>
      </c>
      <c r="G358" t="s">
        <v>1131</v>
      </c>
      <c r="H358" t="s">
        <v>1134</v>
      </c>
    </row>
    <row r="359" spans="1:8" x14ac:dyDescent="0.25">
      <c r="A359" t="s">
        <v>50</v>
      </c>
      <c r="B359" t="s">
        <v>465</v>
      </c>
      <c r="C359" t="s">
        <v>1117</v>
      </c>
      <c r="D359" t="s">
        <v>1120</v>
      </c>
      <c r="E359">
        <v>38.74</v>
      </c>
      <c r="F359">
        <v>930564</v>
      </c>
      <c r="G359" t="s">
        <v>1132</v>
      </c>
      <c r="H359" t="s">
        <v>1133</v>
      </c>
    </row>
    <row r="360" spans="1:8" x14ac:dyDescent="0.25">
      <c r="A360" t="s">
        <v>29</v>
      </c>
      <c r="B360" t="s">
        <v>466</v>
      </c>
      <c r="C360" t="s">
        <v>1108</v>
      </c>
      <c r="D360" t="s">
        <v>1122</v>
      </c>
      <c r="E360">
        <v>79.53</v>
      </c>
      <c r="F360">
        <v>488275</v>
      </c>
      <c r="G360" t="s">
        <v>1129</v>
      </c>
      <c r="H360" t="s">
        <v>1133</v>
      </c>
    </row>
    <row r="361" spans="1:8" x14ac:dyDescent="0.25">
      <c r="A361" t="s">
        <v>97</v>
      </c>
      <c r="B361" t="s">
        <v>467</v>
      </c>
      <c r="C361" t="s">
        <v>1110</v>
      </c>
      <c r="D361" t="s">
        <v>1122</v>
      </c>
      <c r="E361">
        <v>88.76</v>
      </c>
      <c r="F361">
        <v>536045</v>
      </c>
      <c r="G361" t="s">
        <v>1132</v>
      </c>
      <c r="H361" t="s">
        <v>1133</v>
      </c>
    </row>
    <row r="362" spans="1:8" x14ac:dyDescent="0.25">
      <c r="A362" t="s">
        <v>93</v>
      </c>
      <c r="B362" t="s">
        <v>468</v>
      </c>
      <c r="C362" t="s">
        <v>1112</v>
      </c>
      <c r="D362" t="s">
        <v>1119</v>
      </c>
      <c r="E362">
        <v>92.03</v>
      </c>
      <c r="F362">
        <v>439107</v>
      </c>
      <c r="G362" t="s">
        <v>1128</v>
      </c>
      <c r="H362" t="s">
        <v>1133</v>
      </c>
    </row>
    <row r="363" spans="1:8" x14ac:dyDescent="0.25">
      <c r="A363" t="s">
        <v>80</v>
      </c>
      <c r="B363" t="s">
        <v>469</v>
      </c>
      <c r="C363" t="s">
        <v>1113</v>
      </c>
      <c r="D363" t="s">
        <v>1123</v>
      </c>
      <c r="E363">
        <v>79.38</v>
      </c>
      <c r="F363">
        <v>429387</v>
      </c>
      <c r="G363" t="s">
        <v>1132</v>
      </c>
      <c r="H363" t="s">
        <v>1134</v>
      </c>
    </row>
    <row r="364" spans="1:8" x14ac:dyDescent="0.25">
      <c r="A364" t="s">
        <v>71</v>
      </c>
      <c r="B364" t="s">
        <v>470</v>
      </c>
      <c r="C364" t="s">
        <v>1111</v>
      </c>
      <c r="D364" t="s">
        <v>1121</v>
      </c>
      <c r="E364">
        <v>51.32</v>
      </c>
      <c r="F364">
        <v>114532</v>
      </c>
      <c r="G364" t="s">
        <v>1128</v>
      </c>
      <c r="H364" t="s">
        <v>1133</v>
      </c>
    </row>
    <row r="365" spans="1:8" x14ac:dyDescent="0.25">
      <c r="A365" t="s">
        <v>103</v>
      </c>
      <c r="B365" t="s">
        <v>471</v>
      </c>
      <c r="C365" t="s">
        <v>1116</v>
      </c>
      <c r="D365" t="s">
        <v>1126</v>
      </c>
      <c r="E365">
        <v>61.93</v>
      </c>
      <c r="F365">
        <v>521885</v>
      </c>
      <c r="G365" t="s">
        <v>1128</v>
      </c>
      <c r="H365" t="s">
        <v>1133</v>
      </c>
    </row>
    <row r="366" spans="1:8" x14ac:dyDescent="0.25">
      <c r="A366" t="s">
        <v>104</v>
      </c>
      <c r="B366" t="s">
        <v>472</v>
      </c>
      <c r="C366" t="s">
        <v>1113</v>
      </c>
      <c r="D366" t="s">
        <v>1125</v>
      </c>
      <c r="E366">
        <v>93.4</v>
      </c>
      <c r="F366">
        <v>737282</v>
      </c>
      <c r="G366" t="s">
        <v>1130</v>
      </c>
      <c r="H366" t="s">
        <v>1133</v>
      </c>
    </row>
    <row r="367" spans="1:8" x14ac:dyDescent="0.25">
      <c r="A367" t="s">
        <v>35</v>
      </c>
      <c r="B367" t="s">
        <v>473</v>
      </c>
      <c r="C367" t="s">
        <v>1115</v>
      </c>
      <c r="D367" t="s">
        <v>1123</v>
      </c>
      <c r="E367">
        <v>92.78</v>
      </c>
      <c r="F367">
        <v>588252</v>
      </c>
      <c r="G367" t="s">
        <v>1130</v>
      </c>
      <c r="H367" t="s">
        <v>1134</v>
      </c>
    </row>
    <row r="368" spans="1:8" x14ac:dyDescent="0.25">
      <c r="A368" t="s">
        <v>11</v>
      </c>
      <c r="B368" t="s">
        <v>474</v>
      </c>
      <c r="C368" t="s">
        <v>1110</v>
      </c>
      <c r="D368" t="s">
        <v>1118</v>
      </c>
      <c r="E368">
        <v>40.56</v>
      </c>
      <c r="F368">
        <v>947759</v>
      </c>
      <c r="G368" t="s">
        <v>1129</v>
      </c>
      <c r="H368" t="s">
        <v>1134</v>
      </c>
    </row>
    <row r="369" spans="1:8" x14ac:dyDescent="0.25">
      <c r="A369" t="s">
        <v>79</v>
      </c>
      <c r="B369" t="s">
        <v>475</v>
      </c>
      <c r="C369" t="s">
        <v>1110</v>
      </c>
      <c r="D369" t="s">
        <v>1124</v>
      </c>
      <c r="E369">
        <v>70.819999999999993</v>
      </c>
      <c r="F369">
        <v>571056</v>
      </c>
      <c r="G369" t="s">
        <v>1132</v>
      </c>
      <c r="H369" t="s">
        <v>1133</v>
      </c>
    </row>
    <row r="370" spans="1:8" x14ac:dyDescent="0.25">
      <c r="A370" t="s">
        <v>26</v>
      </c>
      <c r="B370" t="s">
        <v>476</v>
      </c>
      <c r="C370" t="s">
        <v>1112</v>
      </c>
      <c r="D370" t="s">
        <v>1127</v>
      </c>
      <c r="E370">
        <v>62.67</v>
      </c>
      <c r="F370">
        <v>584011</v>
      </c>
      <c r="G370" t="s">
        <v>1130</v>
      </c>
      <c r="H370" t="s">
        <v>1133</v>
      </c>
    </row>
    <row r="371" spans="1:8" x14ac:dyDescent="0.25">
      <c r="A371" t="s">
        <v>47</v>
      </c>
      <c r="B371" t="s">
        <v>477</v>
      </c>
      <c r="C371" t="s">
        <v>1112</v>
      </c>
      <c r="D371" t="s">
        <v>1127</v>
      </c>
      <c r="E371">
        <v>96.48</v>
      </c>
      <c r="F371">
        <v>827534</v>
      </c>
      <c r="G371" t="s">
        <v>1128</v>
      </c>
      <c r="H371" t="s">
        <v>1133</v>
      </c>
    </row>
    <row r="372" spans="1:8" x14ac:dyDescent="0.25">
      <c r="A372" t="s">
        <v>61</v>
      </c>
      <c r="B372" t="s">
        <v>478</v>
      </c>
      <c r="C372" t="s">
        <v>1113</v>
      </c>
      <c r="D372" t="s">
        <v>1119</v>
      </c>
      <c r="E372">
        <v>70.73</v>
      </c>
      <c r="F372">
        <v>118965</v>
      </c>
      <c r="G372" t="s">
        <v>1128</v>
      </c>
      <c r="H372" t="s">
        <v>1133</v>
      </c>
    </row>
    <row r="373" spans="1:8" x14ac:dyDescent="0.25">
      <c r="A373" t="s">
        <v>79</v>
      </c>
      <c r="B373" t="s">
        <v>479</v>
      </c>
      <c r="C373" t="s">
        <v>1108</v>
      </c>
      <c r="D373" t="s">
        <v>1126</v>
      </c>
      <c r="E373">
        <v>82.43</v>
      </c>
      <c r="F373">
        <v>421502</v>
      </c>
      <c r="G373" t="s">
        <v>1132</v>
      </c>
      <c r="H373" t="s">
        <v>1134</v>
      </c>
    </row>
    <row r="374" spans="1:8" x14ac:dyDescent="0.25">
      <c r="A374" t="s">
        <v>93</v>
      </c>
      <c r="B374" t="s">
        <v>480</v>
      </c>
      <c r="C374" t="s">
        <v>1108</v>
      </c>
      <c r="D374" t="s">
        <v>1123</v>
      </c>
      <c r="E374">
        <v>86.07</v>
      </c>
      <c r="F374">
        <v>678690</v>
      </c>
      <c r="G374" t="s">
        <v>1129</v>
      </c>
      <c r="H374" t="s">
        <v>1133</v>
      </c>
    </row>
    <row r="375" spans="1:8" x14ac:dyDescent="0.25">
      <c r="A375" t="s">
        <v>87</v>
      </c>
      <c r="B375" t="s">
        <v>481</v>
      </c>
      <c r="C375" t="s">
        <v>1113</v>
      </c>
      <c r="D375" t="s">
        <v>1124</v>
      </c>
      <c r="E375">
        <v>90.8</v>
      </c>
      <c r="F375">
        <v>218466</v>
      </c>
      <c r="G375" t="s">
        <v>1129</v>
      </c>
      <c r="H375" t="s">
        <v>1133</v>
      </c>
    </row>
    <row r="376" spans="1:8" x14ac:dyDescent="0.25">
      <c r="A376" t="s">
        <v>56</v>
      </c>
      <c r="B376" t="s">
        <v>482</v>
      </c>
      <c r="C376" t="s">
        <v>1115</v>
      </c>
      <c r="D376" t="s">
        <v>1125</v>
      </c>
      <c r="E376">
        <v>85.06</v>
      </c>
      <c r="F376">
        <v>901987</v>
      </c>
      <c r="G376" t="s">
        <v>1130</v>
      </c>
      <c r="H376" t="s">
        <v>1133</v>
      </c>
    </row>
    <row r="377" spans="1:8" x14ac:dyDescent="0.25">
      <c r="A377" t="s">
        <v>105</v>
      </c>
      <c r="B377" t="s">
        <v>483</v>
      </c>
      <c r="C377" t="s">
        <v>1108</v>
      </c>
      <c r="D377" t="s">
        <v>1126</v>
      </c>
      <c r="E377">
        <v>43.24</v>
      </c>
      <c r="F377">
        <v>635661</v>
      </c>
      <c r="G377" t="s">
        <v>1131</v>
      </c>
      <c r="H377" t="s">
        <v>1133</v>
      </c>
    </row>
    <row r="378" spans="1:8" x14ac:dyDescent="0.25">
      <c r="A378" t="s">
        <v>47</v>
      </c>
      <c r="B378" t="s">
        <v>484</v>
      </c>
      <c r="C378" t="s">
        <v>1110</v>
      </c>
      <c r="D378" t="s">
        <v>1120</v>
      </c>
      <c r="E378">
        <v>73.930000000000007</v>
      </c>
      <c r="F378">
        <v>246314</v>
      </c>
      <c r="G378" t="s">
        <v>1130</v>
      </c>
      <c r="H378" t="s">
        <v>1133</v>
      </c>
    </row>
    <row r="379" spans="1:8" x14ac:dyDescent="0.25">
      <c r="A379" t="s">
        <v>41</v>
      </c>
      <c r="B379" t="s">
        <v>485</v>
      </c>
      <c r="C379" t="s">
        <v>1112</v>
      </c>
      <c r="D379" t="s">
        <v>1119</v>
      </c>
      <c r="E379">
        <v>85.99</v>
      </c>
      <c r="F379">
        <v>722721</v>
      </c>
      <c r="G379" t="s">
        <v>1132</v>
      </c>
      <c r="H379" t="s">
        <v>1134</v>
      </c>
    </row>
    <row r="380" spans="1:8" x14ac:dyDescent="0.25">
      <c r="A380" t="s">
        <v>54</v>
      </c>
      <c r="B380" t="s">
        <v>486</v>
      </c>
      <c r="C380" t="s">
        <v>1115</v>
      </c>
      <c r="D380" t="s">
        <v>1126</v>
      </c>
      <c r="E380">
        <v>84.76</v>
      </c>
      <c r="F380">
        <v>949772</v>
      </c>
      <c r="G380" t="s">
        <v>1129</v>
      </c>
      <c r="H380" t="s">
        <v>1133</v>
      </c>
    </row>
    <row r="381" spans="1:8" x14ac:dyDescent="0.25">
      <c r="A381" t="s">
        <v>59</v>
      </c>
      <c r="B381" t="s">
        <v>487</v>
      </c>
      <c r="C381" t="s">
        <v>1110</v>
      </c>
      <c r="D381" t="s">
        <v>1121</v>
      </c>
      <c r="E381">
        <v>48.59</v>
      </c>
      <c r="F381">
        <v>471484</v>
      </c>
      <c r="G381" t="s">
        <v>1128</v>
      </c>
      <c r="H381" t="s">
        <v>1133</v>
      </c>
    </row>
    <row r="382" spans="1:8" x14ac:dyDescent="0.25">
      <c r="A382" t="s">
        <v>56</v>
      </c>
      <c r="B382" t="s">
        <v>488</v>
      </c>
      <c r="C382" t="s">
        <v>1115</v>
      </c>
      <c r="D382" t="s">
        <v>1127</v>
      </c>
      <c r="E382">
        <v>59.02</v>
      </c>
      <c r="F382">
        <v>240452</v>
      </c>
      <c r="G382" t="s">
        <v>1130</v>
      </c>
      <c r="H382" t="s">
        <v>1134</v>
      </c>
    </row>
    <row r="383" spans="1:8" x14ac:dyDescent="0.25">
      <c r="A383" t="s">
        <v>36</v>
      </c>
      <c r="B383" t="s">
        <v>489</v>
      </c>
      <c r="C383" t="s">
        <v>1113</v>
      </c>
      <c r="D383" t="s">
        <v>1120</v>
      </c>
      <c r="E383">
        <v>83.99</v>
      </c>
      <c r="F383">
        <v>318647</v>
      </c>
      <c r="G383" t="s">
        <v>1130</v>
      </c>
      <c r="H383" t="s">
        <v>1133</v>
      </c>
    </row>
    <row r="384" spans="1:8" x14ac:dyDescent="0.25">
      <c r="A384" t="s">
        <v>67</v>
      </c>
      <c r="B384" t="s">
        <v>490</v>
      </c>
      <c r="C384" t="s">
        <v>1117</v>
      </c>
      <c r="D384" t="s">
        <v>1127</v>
      </c>
      <c r="E384">
        <v>90.75</v>
      </c>
      <c r="F384">
        <v>531284</v>
      </c>
      <c r="G384" t="s">
        <v>1129</v>
      </c>
      <c r="H384" t="s">
        <v>1133</v>
      </c>
    </row>
    <row r="385" spans="1:8" x14ac:dyDescent="0.25">
      <c r="A385" t="s">
        <v>12</v>
      </c>
      <c r="B385" t="s">
        <v>491</v>
      </c>
      <c r="C385" t="s">
        <v>1111</v>
      </c>
      <c r="D385" t="s">
        <v>1118</v>
      </c>
      <c r="E385">
        <v>81.56</v>
      </c>
      <c r="F385">
        <v>374298</v>
      </c>
      <c r="G385" t="s">
        <v>1130</v>
      </c>
      <c r="H385" t="s">
        <v>1133</v>
      </c>
    </row>
    <row r="386" spans="1:8" x14ac:dyDescent="0.25">
      <c r="A386" t="s">
        <v>35</v>
      </c>
      <c r="B386" t="s">
        <v>492</v>
      </c>
      <c r="C386" t="s">
        <v>1117</v>
      </c>
      <c r="D386" t="s">
        <v>1127</v>
      </c>
      <c r="E386">
        <v>88.67</v>
      </c>
      <c r="F386">
        <v>976904</v>
      </c>
      <c r="G386" t="s">
        <v>1129</v>
      </c>
      <c r="H386" t="s">
        <v>1134</v>
      </c>
    </row>
    <row r="387" spans="1:8" x14ac:dyDescent="0.25">
      <c r="A387" t="s">
        <v>85</v>
      </c>
      <c r="B387" t="s">
        <v>493</v>
      </c>
      <c r="C387" t="s">
        <v>1115</v>
      </c>
      <c r="D387" t="s">
        <v>1121</v>
      </c>
      <c r="E387">
        <v>72.66</v>
      </c>
      <c r="F387">
        <v>441836</v>
      </c>
      <c r="G387" t="s">
        <v>1132</v>
      </c>
      <c r="H387" t="s">
        <v>1133</v>
      </c>
    </row>
    <row r="388" spans="1:8" x14ac:dyDescent="0.25">
      <c r="A388" t="s">
        <v>11</v>
      </c>
      <c r="B388" t="s">
        <v>494</v>
      </c>
      <c r="C388" t="s">
        <v>1112</v>
      </c>
      <c r="D388" t="s">
        <v>1124</v>
      </c>
      <c r="E388">
        <v>79.260000000000005</v>
      </c>
      <c r="F388">
        <v>675826</v>
      </c>
      <c r="G388" t="s">
        <v>1132</v>
      </c>
      <c r="H388" t="s">
        <v>1133</v>
      </c>
    </row>
    <row r="389" spans="1:8" x14ac:dyDescent="0.25">
      <c r="A389" t="s">
        <v>103</v>
      </c>
      <c r="B389" t="s">
        <v>495</v>
      </c>
      <c r="C389" t="s">
        <v>1114</v>
      </c>
      <c r="D389" t="s">
        <v>1127</v>
      </c>
      <c r="E389">
        <v>95.97</v>
      </c>
      <c r="F389">
        <v>416632</v>
      </c>
      <c r="G389" t="s">
        <v>1128</v>
      </c>
      <c r="H389" t="s">
        <v>1133</v>
      </c>
    </row>
    <row r="390" spans="1:8" x14ac:dyDescent="0.25">
      <c r="A390" t="s">
        <v>30</v>
      </c>
      <c r="B390" t="s">
        <v>496</v>
      </c>
      <c r="C390" t="s">
        <v>1108</v>
      </c>
      <c r="D390" t="s">
        <v>1119</v>
      </c>
      <c r="E390">
        <v>85.7</v>
      </c>
      <c r="F390">
        <v>437120</v>
      </c>
      <c r="G390" t="s">
        <v>1128</v>
      </c>
      <c r="H390" t="s">
        <v>1133</v>
      </c>
    </row>
    <row r="391" spans="1:8" x14ac:dyDescent="0.25">
      <c r="A391" t="s">
        <v>97</v>
      </c>
      <c r="B391" t="s">
        <v>497</v>
      </c>
      <c r="C391" t="s">
        <v>1109</v>
      </c>
      <c r="D391" t="s">
        <v>1123</v>
      </c>
      <c r="E391">
        <v>81.96</v>
      </c>
      <c r="F391">
        <v>650173</v>
      </c>
      <c r="G391" t="s">
        <v>1131</v>
      </c>
      <c r="H391" t="s">
        <v>1133</v>
      </c>
    </row>
    <row r="392" spans="1:8" x14ac:dyDescent="0.25">
      <c r="A392" t="s">
        <v>50</v>
      </c>
      <c r="B392" t="s">
        <v>498</v>
      </c>
      <c r="C392" t="s">
        <v>1110</v>
      </c>
      <c r="D392" t="s">
        <v>1119</v>
      </c>
      <c r="E392">
        <v>88.51</v>
      </c>
      <c r="F392">
        <v>258267</v>
      </c>
      <c r="G392" t="s">
        <v>1130</v>
      </c>
      <c r="H392" t="s">
        <v>1133</v>
      </c>
    </row>
    <row r="393" spans="1:8" x14ac:dyDescent="0.25">
      <c r="A393" t="s">
        <v>51</v>
      </c>
      <c r="B393" t="s">
        <v>499</v>
      </c>
      <c r="C393" t="s">
        <v>1113</v>
      </c>
      <c r="D393" t="s">
        <v>1122</v>
      </c>
      <c r="E393">
        <v>42.32</v>
      </c>
      <c r="F393">
        <v>234286</v>
      </c>
      <c r="G393" t="s">
        <v>1128</v>
      </c>
      <c r="H393" t="s">
        <v>1133</v>
      </c>
    </row>
    <row r="394" spans="1:8" x14ac:dyDescent="0.25">
      <c r="A394" t="s">
        <v>89</v>
      </c>
      <c r="B394" t="s">
        <v>500</v>
      </c>
      <c r="C394" t="s">
        <v>1111</v>
      </c>
      <c r="D394" t="s">
        <v>1125</v>
      </c>
      <c r="E394">
        <v>56.04</v>
      </c>
      <c r="F394">
        <v>439867</v>
      </c>
      <c r="G394" t="s">
        <v>1130</v>
      </c>
      <c r="H394" t="s">
        <v>1133</v>
      </c>
    </row>
    <row r="395" spans="1:8" x14ac:dyDescent="0.25">
      <c r="A395" t="s">
        <v>70</v>
      </c>
      <c r="B395" t="s">
        <v>501</v>
      </c>
      <c r="C395" t="s">
        <v>1116</v>
      </c>
      <c r="D395" t="s">
        <v>1122</v>
      </c>
      <c r="E395">
        <v>57.93</v>
      </c>
      <c r="F395">
        <v>791631</v>
      </c>
      <c r="G395" t="s">
        <v>1131</v>
      </c>
      <c r="H395" t="s">
        <v>1133</v>
      </c>
    </row>
    <row r="396" spans="1:8" x14ac:dyDescent="0.25">
      <c r="A396" t="s">
        <v>87</v>
      </c>
      <c r="B396" t="s">
        <v>502</v>
      </c>
      <c r="C396" t="s">
        <v>1116</v>
      </c>
      <c r="D396" t="s">
        <v>1123</v>
      </c>
      <c r="E396">
        <v>40.82</v>
      </c>
      <c r="F396">
        <v>413485</v>
      </c>
      <c r="G396" t="s">
        <v>1128</v>
      </c>
      <c r="H396" t="s">
        <v>1133</v>
      </c>
    </row>
    <row r="397" spans="1:8" x14ac:dyDescent="0.25">
      <c r="A397" t="s">
        <v>64</v>
      </c>
      <c r="B397" t="s">
        <v>503</v>
      </c>
      <c r="C397" t="s">
        <v>1116</v>
      </c>
      <c r="D397" t="s">
        <v>1126</v>
      </c>
      <c r="E397">
        <v>94.63</v>
      </c>
      <c r="F397">
        <v>965990</v>
      </c>
      <c r="G397" t="s">
        <v>1128</v>
      </c>
      <c r="H397" t="s">
        <v>1133</v>
      </c>
    </row>
    <row r="398" spans="1:8" x14ac:dyDescent="0.25">
      <c r="A398" t="s">
        <v>98</v>
      </c>
      <c r="B398" t="s">
        <v>504</v>
      </c>
      <c r="C398" t="s">
        <v>1112</v>
      </c>
      <c r="D398" t="s">
        <v>1127</v>
      </c>
      <c r="E398">
        <v>90.81</v>
      </c>
      <c r="F398">
        <v>768292</v>
      </c>
      <c r="G398" t="s">
        <v>1129</v>
      </c>
      <c r="H398" t="s">
        <v>1133</v>
      </c>
    </row>
    <row r="399" spans="1:8" x14ac:dyDescent="0.25">
      <c r="A399" t="s">
        <v>43</v>
      </c>
      <c r="B399" t="s">
        <v>505</v>
      </c>
      <c r="C399" t="s">
        <v>1110</v>
      </c>
      <c r="D399" t="s">
        <v>1122</v>
      </c>
      <c r="E399">
        <v>70.489999999999995</v>
      </c>
      <c r="F399">
        <v>695517</v>
      </c>
      <c r="G399" t="s">
        <v>1132</v>
      </c>
      <c r="H399" t="s">
        <v>1133</v>
      </c>
    </row>
    <row r="400" spans="1:8" x14ac:dyDescent="0.25">
      <c r="A400" t="s">
        <v>80</v>
      </c>
      <c r="B400" t="s">
        <v>506</v>
      </c>
      <c r="C400" t="s">
        <v>1114</v>
      </c>
      <c r="D400" t="s">
        <v>1123</v>
      </c>
      <c r="E400">
        <v>38.619999999999997</v>
      </c>
      <c r="F400">
        <v>275897</v>
      </c>
      <c r="G400" t="s">
        <v>1128</v>
      </c>
      <c r="H400" t="s">
        <v>1133</v>
      </c>
    </row>
    <row r="401" spans="1:8" x14ac:dyDescent="0.25">
      <c r="A401" t="s">
        <v>23</v>
      </c>
      <c r="B401" t="s">
        <v>507</v>
      </c>
      <c r="C401" t="s">
        <v>1116</v>
      </c>
      <c r="D401" t="s">
        <v>1123</v>
      </c>
      <c r="E401">
        <v>35.58</v>
      </c>
      <c r="F401">
        <v>299341</v>
      </c>
      <c r="G401" t="s">
        <v>1129</v>
      </c>
      <c r="H401" t="s">
        <v>1133</v>
      </c>
    </row>
    <row r="402" spans="1:8" x14ac:dyDescent="0.25">
      <c r="A402" t="s">
        <v>89</v>
      </c>
      <c r="B402" t="s">
        <v>508</v>
      </c>
      <c r="C402" t="s">
        <v>1114</v>
      </c>
      <c r="D402" t="s">
        <v>1125</v>
      </c>
      <c r="E402">
        <v>73.31</v>
      </c>
      <c r="F402">
        <v>344053</v>
      </c>
      <c r="G402" t="s">
        <v>1128</v>
      </c>
      <c r="H402" t="s">
        <v>1134</v>
      </c>
    </row>
    <row r="403" spans="1:8" x14ac:dyDescent="0.25">
      <c r="A403" t="s">
        <v>15</v>
      </c>
      <c r="B403" t="s">
        <v>509</v>
      </c>
      <c r="C403" t="s">
        <v>1111</v>
      </c>
      <c r="D403" t="s">
        <v>1122</v>
      </c>
      <c r="E403">
        <v>62.56</v>
      </c>
      <c r="F403">
        <v>790808</v>
      </c>
      <c r="G403" t="s">
        <v>1129</v>
      </c>
      <c r="H403" t="s">
        <v>1133</v>
      </c>
    </row>
    <row r="404" spans="1:8" x14ac:dyDescent="0.25">
      <c r="A404" t="s">
        <v>24</v>
      </c>
      <c r="B404" t="s">
        <v>510</v>
      </c>
      <c r="C404" t="s">
        <v>1113</v>
      </c>
      <c r="D404" t="s">
        <v>1122</v>
      </c>
      <c r="E404">
        <v>53.12</v>
      </c>
      <c r="F404">
        <v>451589</v>
      </c>
      <c r="G404" t="s">
        <v>1132</v>
      </c>
      <c r="H404" t="s">
        <v>1133</v>
      </c>
    </row>
    <row r="405" spans="1:8" x14ac:dyDescent="0.25">
      <c r="A405" t="s">
        <v>81</v>
      </c>
      <c r="B405" t="s">
        <v>511</v>
      </c>
      <c r="C405" t="s">
        <v>1113</v>
      </c>
      <c r="D405" t="s">
        <v>1121</v>
      </c>
      <c r="E405">
        <v>43.33</v>
      </c>
      <c r="F405">
        <v>855842</v>
      </c>
      <c r="G405" t="s">
        <v>1131</v>
      </c>
      <c r="H405" t="s">
        <v>1134</v>
      </c>
    </row>
    <row r="406" spans="1:8" x14ac:dyDescent="0.25">
      <c r="A406" t="s">
        <v>45</v>
      </c>
      <c r="B406" t="s">
        <v>512</v>
      </c>
      <c r="C406" t="s">
        <v>1112</v>
      </c>
      <c r="D406" t="s">
        <v>1124</v>
      </c>
      <c r="E406">
        <v>69.41</v>
      </c>
      <c r="F406">
        <v>215898</v>
      </c>
      <c r="G406" t="s">
        <v>1130</v>
      </c>
      <c r="H406" t="s">
        <v>1133</v>
      </c>
    </row>
    <row r="407" spans="1:8" x14ac:dyDescent="0.25">
      <c r="A407" t="s">
        <v>66</v>
      </c>
      <c r="B407" t="s">
        <v>513</v>
      </c>
      <c r="C407" t="s">
        <v>1113</v>
      </c>
      <c r="D407" t="s">
        <v>1120</v>
      </c>
      <c r="E407">
        <v>49.9</v>
      </c>
      <c r="F407">
        <v>782778</v>
      </c>
      <c r="G407" t="s">
        <v>1132</v>
      </c>
      <c r="H407" t="s">
        <v>1133</v>
      </c>
    </row>
    <row r="408" spans="1:8" x14ac:dyDescent="0.25">
      <c r="A408" t="s">
        <v>66</v>
      </c>
      <c r="B408" t="s">
        <v>514</v>
      </c>
      <c r="C408" t="s">
        <v>1111</v>
      </c>
      <c r="D408" t="s">
        <v>1124</v>
      </c>
      <c r="E408">
        <v>59.86</v>
      </c>
      <c r="F408">
        <v>814440</v>
      </c>
      <c r="G408" t="s">
        <v>1128</v>
      </c>
      <c r="H408" t="s">
        <v>1133</v>
      </c>
    </row>
    <row r="409" spans="1:8" x14ac:dyDescent="0.25">
      <c r="A409" t="s">
        <v>11</v>
      </c>
      <c r="B409" t="s">
        <v>515</v>
      </c>
      <c r="C409" t="s">
        <v>1115</v>
      </c>
      <c r="D409" t="s">
        <v>1121</v>
      </c>
      <c r="E409">
        <v>84.73</v>
      </c>
      <c r="F409">
        <v>695212</v>
      </c>
      <c r="G409" t="s">
        <v>1129</v>
      </c>
      <c r="H409" t="s">
        <v>1133</v>
      </c>
    </row>
    <row r="410" spans="1:8" x14ac:dyDescent="0.25">
      <c r="A410" t="s">
        <v>20</v>
      </c>
      <c r="B410" t="s">
        <v>516</v>
      </c>
      <c r="C410" t="s">
        <v>1110</v>
      </c>
      <c r="D410" t="s">
        <v>1119</v>
      </c>
      <c r="E410">
        <v>39.03</v>
      </c>
      <c r="F410">
        <v>800670</v>
      </c>
      <c r="G410" t="s">
        <v>1128</v>
      </c>
      <c r="H410" t="s">
        <v>1134</v>
      </c>
    </row>
    <row r="411" spans="1:8" x14ac:dyDescent="0.25">
      <c r="A411" t="s">
        <v>30</v>
      </c>
      <c r="B411" t="s">
        <v>517</v>
      </c>
      <c r="C411" t="s">
        <v>1111</v>
      </c>
      <c r="D411" t="s">
        <v>1123</v>
      </c>
      <c r="E411">
        <v>91.53</v>
      </c>
      <c r="F411">
        <v>887091</v>
      </c>
      <c r="G411" t="s">
        <v>1128</v>
      </c>
      <c r="H411" t="s">
        <v>1133</v>
      </c>
    </row>
    <row r="412" spans="1:8" x14ac:dyDescent="0.25">
      <c r="A412" t="s">
        <v>56</v>
      </c>
      <c r="B412" t="s">
        <v>518</v>
      </c>
      <c r="C412" t="s">
        <v>1112</v>
      </c>
      <c r="D412" t="s">
        <v>1118</v>
      </c>
      <c r="E412">
        <v>66.959999999999994</v>
      </c>
      <c r="F412">
        <v>594053</v>
      </c>
      <c r="G412" t="s">
        <v>1130</v>
      </c>
      <c r="H412" t="s">
        <v>1133</v>
      </c>
    </row>
    <row r="413" spans="1:8" x14ac:dyDescent="0.25">
      <c r="A413" t="s">
        <v>67</v>
      </c>
      <c r="B413" t="s">
        <v>519</v>
      </c>
      <c r="C413" t="s">
        <v>1115</v>
      </c>
      <c r="D413" t="s">
        <v>1121</v>
      </c>
      <c r="E413">
        <v>36.119999999999997</v>
      </c>
      <c r="F413">
        <v>463333</v>
      </c>
      <c r="G413" t="s">
        <v>1132</v>
      </c>
      <c r="H413" t="s">
        <v>1134</v>
      </c>
    </row>
    <row r="414" spans="1:8" x14ac:dyDescent="0.25">
      <c r="A414" t="s">
        <v>45</v>
      </c>
      <c r="B414" t="s">
        <v>520</v>
      </c>
      <c r="C414" t="s">
        <v>1115</v>
      </c>
      <c r="D414" t="s">
        <v>1126</v>
      </c>
      <c r="E414">
        <v>47.67</v>
      </c>
      <c r="F414">
        <v>113690</v>
      </c>
      <c r="G414" t="s">
        <v>1129</v>
      </c>
      <c r="H414" t="s">
        <v>1133</v>
      </c>
    </row>
    <row r="415" spans="1:8" x14ac:dyDescent="0.25">
      <c r="A415" t="s">
        <v>48</v>
      </c>
      <c r="B415" t="s">
        <v>521</v>
      </c>
      <c r="C415" t="s">
        <v>1112</v>
      </c>
      <c r="D415" t="s">
        <v>1123</v>
      </c>
      <c r="E415">
        <v>89.26</v>
      </c>
      <c r="F415">
        <v>513661</v>
      </c>
      <c r="G415" t="s">
        <v>1130</v>
      </c>
      <c r="H415" t="s">
        <v>1134</v>
      </c>
    </row>
    <row r="416" spans="1:8" x14ac:dyDescent="0.25">
      <c r="A416" t="s">
        <v>18</v>
      </c>
      <c r="B416" t="s">
        <v>522</v>
      </c>
      <c r="C416" t="s">
        <v>1114</v>
      </c>
      <c r="D416" t="s">
        <v>1127</v>
      </c>
      <c r="E416">
        <v>81.92</v>
      </c>
      <c r="F416">
        <v>537731</v>
      </c>
      <c r="G416" t="s">
        <v>1128</v>
      </c>
      <c r="H416" t="s">
        <v>1133</v>
      </c>
    </row>
    <row r="417" spans="1:8" x14ac:dyDescent="0.25">
      <c r="A417" t="s">
        <v>102</v>
      </c>
      <c r="B417" t="s">
        <v>523</v>
      </c>
      <c r="C417" t="s">
        <v>1116</v>
      </c>
      <c r="D417" t="s">
        <v>1127</v>
      </c>
      <c r="E417">
        <v>96.17</v>
      </c>
      <c r="F417">
        <v>545164</v>
      </c>
      <c r="G417" t="s">
        <v>1128</v>
      </c>
      <c r="H417" t="s">
        <v>1134</v>
      </c>
    </row>
    <row r="418" spans="1:8" x14ac:dyDescent="0.25">
      <c r="A418" t="s">
        <v>106</v>
      </c>
      <c r="B418" t="s">
        <v>524</v>
      </c>
      <c r="C418" t="s">
        <v>1111</v>
      </c>
      <c r="D418" t="s">
        <v>1118</v>
      </c>
      <c r="E418">
        <v>82.09</v>
      </c>
      <c r="F418">
        <v>955915</v>
      </c>
      <c r="G418" t="s">
        <v>1131</v>
      </c>
      <c r="H418" t="s">
        <v>1134</v>
      </c>
    </row>
    <row r="419" spans="1:8" x14ac:dyDescent="0.25">
      <c r="A419" t="s">
        <v>8</v>
      </c>
      <c r="B419" t="s">
        <v>525</v>
      </c>
      <c r="C419" t="s">
        <v>1115</v>
      </c>
      <c r="D419" t="s">
        <v>1125</v>
      </c>
      <c r="E419">
        <v>83.93</v>
      </c>
      <c r="F419">
        <v>973153</v>
      </c>
      <c r="G419" t="s">
        <v>1130</v>
      </c>
      <c r="H419" t="s">
        <v>1133</v>
      </c>
    </row>
    <row r="420" spans="1:8" x14ac:dyDescent="0.25">
      <c r="A420" t="s">
        <v>107</v>
      </c>
      <c r="B420" t="s">
        <v>526</v>
      </c>
      <c r="C420" t="s">
        <v>1110</v>
      </c>
      <c r="D420" t="s">
        <v>1126</v>
      </c>
      <c r="E420">
        <v>45.02</v>
      </c>
      <c r="F420">
        <v>444407</v>
      </c>
      <c r="G420" t="s">
        <v>1130</v>
      </c>
      <c r="H420" t="s">
        <v>1133</v>
      </c>
    </row>
    <row r="421" spans="1:8" x14ac:dyDescent="0.25">
      <c r="A421" t="s">
        <v>76</v>
      </c>
      <c r="B421" t="s">
        <v>527</v>
      </c>
      <c r="C421" t="s">
        <v>1114</v>
      </c>
      <c r="D421" t="s">
        <v>1119</v>
      </c>
      <c r="E421">
        <v>35.770000000000003</v>
      </c>
      <c r="F421">
        <v>407353</v>
      </c>
      <c r="G421" t="s">
        <v>1131</v>
      </c>
      <c r="H421" t="s">
        <v>1133</v>
      </c>
    </row>
    <row r="422" spans="1:8" x14ac:dyDescent="0.25">
      <c r="A422" t="s">
        <v>54</v>
      </c>
      <c r="B422" t="s">
        <v>528</v>
      </c>
      <c r="C422" t="s">
        <v>1116</v>
      </c>
      <c r="D422" t="s">
        <v>1119</v>
      </c>
      <c r="E422">
        <v>45.32</v>
      </c>
      <c r="F422">
        <v>218858</v>
      </c>
      <c r="G422" t="s">
        <v>1131</v>
      </c>
      <c r="H422" t="s">
        <v>1133</v>
      </c>
    </row>
    <row r="423" spans="1:8" x14ac:dyDescent="0.25">
      <c r="A423" t="s">
        <v>64</v>
      </c>
      <c r="B423" t="s">
        <v>529</v>
      </c>
      <c r="C423" t="s">
        <v>1115</v>
      </c>
      <c r="D423" t="s">
        <v>1120</v>
      </c>
      <c r="E423">
        <v>51.29</v>
      </c>
      <c r="F423">
        <v>182168</v>
      </c>
      <c r="G423" t="s">
        <v>1128</v>
      </c>
      <c r="H423" t="s">
        <v>1134</v>
      </c>
    </row>
    <row r="424" spans="1:8" x14ac:dyDescent="0.25">
      <c r="A424" t="s">
        <v>62</v>
      </c>
      <c r="B424" t="s">
        <v>530</v>
      </c>
      <c r="C424" t="s">
        <v>1113</v>
      </c>
      <c r="D424" t="s">
        <v>1119</v>
      </c>
      <c r="E424">
        <v>98.63</v>
      </c>
      <c r="F424">
        <v>742787</v>
      </c>
      <c r="G424" t="s">
        <v>1130</v>
      </c>
      <c r="H424" t="s">
        <v>1134</v>
      </c>
    </row>
    <row r="425" spans="1:8" x14ac:dyDescent="0.25">
      <c r="A425" t="s">
        <v>28</v>
      </c>
      <c r="B425" t="s">
        <v>531</v>
      </c>
      <c r="C425" t="s">
        <v>1115</v>
      </c>
      <c r="D425" t="s">
        <v>1126</v>
      </c>
      <c r="E425">
        <v>71.5</v>
      </c>
      <c r="F425">
        <v>332041</v>
      </c>
      <c r="G425" t="s">
        <v>1128</v>
      </c>
      <c r="H425" t="s">
        <v>1133</v>
      </c>
    </row>
    <row r="426" spans="1:8" x14ac:dyDescent="0.25">
      <c r="A426" t="s">
        <v>107</v>
      </c>
      <c r="B426" t="s">
        <v>532</v>
      </c>
      <c r="C426" t="s">
        <v>1114</v>
      </c>
      <c r="D426" t="s">
        <v>1121</v>
      </c>
      <c r="E426">
        <v>60.91</v>
      </c>
      <c r="F426">
        <v>904836</v>
      </c>
      <c r="G426" t="s">
        <v>1128</v>
      </c>
      <c r="H426" t="s">
        <v>1133</v>
      </c>
    </row>
    <row r="427" spans="1:8" x14ac:dyDescent="0.25">
      <c r="A427" t="s">
        <v>52</v>
      </c>
      <c r="B427" t="s">
        <v>533</v>
      </c>
      <c r="C427" t="s">
        <v>1115</v>
      </c>
      <c r="D427" t="s">
        <v>1127</v>
      </c>
      <c r="E427">
        <v>40.369999999999997</v>
      </c>
      <c r="F427">
        <v>725144</v>
      </c>
      <c r="G427" t="s">
        <v>1131</v>
      </c>
      <c r="H427" t="s">
        <v>1133</v>
      </c>
    </row>
    <row r="428" spans="1:8" x14ac:dyDescent="0.25">
      <c r="A428" t="s">
        <v>84</v>
      </c>
      <c r="B428" t="s">
        <v>534</v>
      </c>
      <c r="C428" t="s">
        <v>1115</v>
      </c>
      <c r="D428" t="s">
        <v>1126</v>
      </c>
      <c r="E428">
        <v>45.41</v>
      </c>
      <c r="F428">
        <v>974172</v>
      </c>
      <c r="G428" t="s">
        <v>1128</v>
      </c>
      <c r="H428" t="s">
        <v>1134</v>
      </c>
    </row>
    <row r="429" spans="1:8" x14ac:dyDescent="0.25">
      <c r="A429" t="s">
        <v>99</v>
      </c>
      <c r="B429" t="s">
        <v>535</v>
      </c>
      <c r="C429" t="s">
        <v>1117</v>
      </c>
      <c r="D429" t="s">
        <v>1123</v>
      </c>
      <c r="E429">
        <v>88.37</v>
      </c>
      <c r="F429">
        <v>473523</v>
      </c>
      <c r="G429" t="s">
        <v>1129</v>
      </c>
      <c r="H429" t="s">
        <v>1133</v>
      </c>
    </row>
    <row r="430" spans="1:8" x14ac:dyDescent="0.25">
      <c r="A430" t="s">
        <v>12</v>
      </c>
      <c r="B430" t="s">
        <v>536</v>
      </c>
      <c r="C430" t="s">
        <v>1113</v>
      </c>
      <c r="D430" t="s">
        <v>1122</v>
      </c>
      <c r="E430">
        <v>45.39</v>
      </c>
      <c r="F430">
        <v>862197</v>
      </c>
      <c r="G430" t="s">
        <v>1128</v>
      </c>
      <c r="H430" t="s">
        <v>1133</v>
      </c>
    </row>
    <row r="431" spans="1:8" x14ac:dyDescent="0.25">
      <c r="A431" t="s">
        <v>61</v>
      </c>
      <c r="B431" t="s">
        <v>537</v>
      </c>
      <c r="C431" t="s">
        <v>1113</v>
      </c>
      <c r="D431" t="s">
        <v>1122</v>
      </c>
      <c r="E431">
        <v>77.66</v>
      </c>
      <c r="F431">
        <v>279298</v>
      </c>
      <c r="G431" t="s">
        <v>1131</v>
      </c>
      <c r="H431" t="s">
        <v>1133</v>
      </c>
    </row>
    <row r="432" spans="1:8" x14ac:dyDescent="0.25">
      <c r="A432" t="s">
        <v>62</v>
      </c>
      <c r="B432" t="s">
        <v>538</v>
      </c>
      <c r="C432" t="s">
        <v>1112</v>
      </c>
      <c r="D432" t="s">
        <v>1121</v>
      </c>
      <c r="E432">
        <v>57.09</v>
      </c>
      <c r="F432">
        <v>369218</v>
      </c>
      <c r="G432" t="s">
        <v>1129</v>
      </c>
      <c r="H432" t="s">
        <v>1133</v>
      </c>
    </row>
    <row r="433" spans="1:8" x14ac:dyDescent="0.25">
      <c r="A433" t="s">
        <v>61</v>
      </c>
      <c r="B433" t="s">
        <v>539</v>
      </c>
      <c r="C433" t="s">
        <v>1112</v>
      </c>
      <c r="D433" t="s">
        <v>1121</v>
      </c>
      <c r="E433">
        <v>39.58</v>
      </c>
      <c r="F433">
        <v>148144</v>
      </c>
      <c r="G433" t="s">
        <v>1128</v>
      </c>
      <c r="H433" t="s">
        <v>1134</v>
      </c>
    </row>
    <row r="434" spans="1:8" x14ac:dyDescent="0.25">
      <c r="A434" t="s">
        <v>26</v>
      </c>
      <c r="B434" t="s">
        <v>540</v>
      </c>
      <c r="C434" t="s">
        <v>1114</v>
      </c>
      <c r="D434" t="s">
        <v>1118</v>
      </c>
      <c r="E434">
        <v>54.99</v>
      </c>
      <c r="F434">
        <v>841725</v>
      </c>
      <c r="G434" t="s">
        <v>1131</v>
      </c>
      <c r="H434" t="s">
        <v>1133</v>
      </c>
    </row>
    <row r="435" spans="1:8" x14ac:dyDescent="0.25">
      <c r="A435" t="s">
        <v>20</v>
      </c>
      <c r="B435" t="s">
        <v>541</v>
      </c>
      <c r="C435" t="s">
        <v>1109</v>
      </c>
      <c r="D435" t="s">
        <v>1127</v>
      </c>
      <c r="E435">
        <v>73.75</v>
      </c>
      <c r="F435">
        <v>117559</v>
      </c>
      <c r="G435" t="s">
        <v>1129</v>
      </c>
      <c r="H435" t="s">
        <v>1133</v>
      </c>
    </row>
    <row r="436" spans="1:8" x14ac:dyDescent="0.25">
      <c r="A436" t="s">
        <v>54</v>
      </c>
      <c r="B436" t="s">
        <v>542</v>
      </c>
      <c r="C436" t="s">
        <v>1115</v>
      </c>
      <c r="D436" t="s">
        <v>1122</v>
      </c>
      <c r="E436">
        <v>87.23</v>
      </c>
      <c r="F436">
        <v>305756</v>
      </c>
      <c r="G436" t="s">
        <v>1132</v>
      </c>
      <c r="H436" t="s">
        <v>1133</v>
      </c>
    </row>
    <row r="437" spans="1:8" x14ac:dyDescent="0.25">
      <c r="A437" t="s">
        <v>44</v>
      </c>
      <c r="B437" t="s">
        <v>543</v>
      </c>
      <c r="C437" t="s">
        <v>1114</v>
      </c>
      <c r="D437" t="s">
        <v>1127</v>
      </c>
      <c r="E437">
        <v>64.37</v>
      </c>
      <c r="F437">
        <v>902525</v>
      </c>
      <c r="G437" t="s">
        <v>1132</v>
      </c>
      <c r="H437" t="s">
        <v>1134</v>
      </c>
    </row>
    <row r="438" spans="1:8" x14ac:dyDescent="0.25">
      <c r="A438" t="s">
        <v>46</v>
      </c>
      <c r="B438" t="s">
        <v>544</v>
      </c>
      <c r="C438" t="s">
        <v>1109</v>
      </c>
      <c r="D438" t="s">
        <v>1122</v>
      </c>
      <c r="E438">
        <v>63.29</v>
      </c>
      <c r="F438">
        <v>516242</v>
      </c>
      <c r="G438" t="s">
        <v>1132</v>
      </c>
      <c r="H438" t="s">
        <v>1134</v>
      </c>
    </row>
    <row r="439" spans="1:8" x14ac:dyDescent="0.25">
      <c r="A439" t="s">
        <v>64</v>
      </c>
      <c r="B439" t="s">
        <v>545</v>
      </c>
      <c r="C439" t="s">
        <v>1110</v>
      </c>
      <c r="D439" t="s">
        <v>1119</v>
      </c>
      <c r="E439">
        <v>50.48</v>
      </c>
      <c r="F439">
        <v>875188</v>
      </c>
      <c r="G439" t="s">
        <v>1128</v>
      </c>
      <c r="H439" t="s">
        <v>1134</v>
      </c>
    </row>
    <row r="440" spans="1:8" x14ac:dyDescent="0.25">
      <c r="A440" t="s">
        <v>69</v>
      </c>
      <c r="B440" t="s">
        <v>546</v>
      </c>
      <c r="C440" t="s">
        <v>1113</v>
      </c>
      <c r="D440" t="s">
        <v>1126</v>
      </c>
      <c r="E440">
        <v>85.61</v>
      </c>
      <c r="F440">
        <v>458453</v>
      </c>
      <c r="G440" t="s">
        <v>1130</v>
      </c>
      <c r="H440" t="s">
        <v>1134</v>
      </c>
    </row>
    <row r="441" spans="1:8" x14ac:dyDescent="0.25">
      <c r="A441" t="s">
        <v>62</v>
      </c>
      <c r="B441" t="s">
        <v>547</v>
      </c>
      <c r="C441" t="s">
        <v>1110</v>
      </c>
      <c r="D441" t="s">
        <v>1124</v>
      </c>
      <c r="E441">
        <v>99.64</v>
      </c>
      <c r="F441">
        <v>926202</v>
      </c>
      <c r="G441" t="s">
        <v>1130</v>
      </c>
      <c r="H441" t="s">
        <v>1134</v>
      </c>
    </row>
    <row r="442" spans="1:8" x14ac:dyDescent="0.25">
      <c r="A442" t="s">
        <v>46</v>
      </c>
      <c r="B442" t="s">
        <v>548</v>
      </c>
      <c r="C442" t="s">
        <v>1114</v>
      </c>
      <c r="D442" t="s">
        <v>1123</v>
      </c>
      <c r="E442">
        <v>83.53</v>
      </c>
      <c r="F442">
        <v>958109</v>
      </c>
      <c r="G442" t="s">
        <v>1131</v>
      </c>
      <c r="H442" t="s">
        <v>1133</v>
      </c>
    </row>
    <row r="443" spans="1:8" x14ac:dyDescent="0.25">
      <c r="A443" t="s">
        <v>56</v>
      </c>
      <c r="B443" t="s">
        <v>549</v>
      </c>
      <c r="C443" t="s">
        <v>1112</v>
      </c>
      <c r="D443" t="s">
        <v>1127</v>
      </c>
      <c r="E443">
        <v>49.32</v>
      </c>
      <c r="F443">
        <v>560749</v>
      </c>
      <c r="G443" t="s">
        <v>1132</v>
      </c>
      <c r="H443" t="s">
        <v>1133</v>
      </c>
    </row>
    <row r="444" spans="1:8" x14ac:dyDescent="0.25">
      <c r="A444" t="s">
        <v>19</v>
      </c>
      <c r="B444" t="s">
        <v>550</v>
      </c>
      <c r="C444" t="s">
        <v>1111</v>
      </c>
      <c r="D444" t="s">
        <v>1118</v>
      </c>
      <c r="E444">
        <v>68.33</v>
      </c>
      <c r="F444">
        <v>226211</v>
      </c>
      <c r="G444" t="s">
        <v>1132</v>
      </c>
      <c r="H444" t="s">
        <v>1133</v>
      </c>
    </row>
    <row r="445" spans="1:8" x14ac:dyDescent="0.25">
      <c r="A445" t="s">
        <v>58</v>
      </c>
      <c r="B445" t="s">
        <v>551</v>
      </c>
      <c r="C445" t="s">
        <v>1116</v>
      </c>
      <c r="D445" t="s">
        <v>1120</v>
      </c>
      <c r="E445">
        <v>87.46</v>
      </c>
      <c r="F445">
        <v>929897</v>
      </c>
      <c r="G445" t="s">
        <v>1130</v>
      </c>
      <c r="H445" t="s">
        <v>1134</v>
      </c>
    </row>
    <row r="446" spans="1:8" x14ac:dyDescent="0.25">
      <c r="A446" t="s">
        <v>100</v>
      </c>
      <c r="B446" t="s">
        <v>552</v>
      </c>
      <c r="C446" t="s">
        <v>1115</v>
      </c>
      <c r="D446" t="s">
        <v>1120</v>
      </c>
      <c r="E446">
        <v>68.099999999999994</v>
      </c>
      <c r="F446">
        <v>101501</v>
      </c>
      <c r="G446" t="s">
        <v>1131</v>
      </c>
      <c r="H446" t="s">
        <v>1133</v>
      </c>
    </row>
    <row r="447" spans="1:8" x14ac:dyDescent="0.25">
      <c r="A447" t="s">
        <v>63</v>
      </c>
      <c r="B447" t="s">
        <v>553</v>
      </c>
      <c r="C447" t="s">
        <v>1116</v>
      </c>
      <c r="D447" t="s">
        <v>1122</v>
      </c>
      <c r="E447">
        <v>47.06</v>
      </c>
      <c r="F447">
        <v>342653</v>
      </c>
      <c r="G447" t="s">
        <v>1129</v>
      </c>
      <c r="H447" t="s">
        <v>1133</v>
      </c>
    </row>
    <row r="448" spans="1:8" x14ac:dyDescent="0.25">
      <c r="A448" t="s">
        <v>82</v>
      </c>
      <c r="B448" t="s">
        <v>554</v>
      </c>
      <c r="C448" t="s">
        <v>1108</v>
      </c>
      <c r="D448" t="s">
        <v>1120</v>
      </c>
      <c r="E448">
        <v>66.47</v>
      </c>
      <c r="F448">
        <v>260957</v>
      </c>
      <c r="G448" t="s">
        <v>1129</v>
      </c>
      <c r="H448" t="s">
        <v>1133</v>
      </c>
    </row>
    <row r="449" spans="1:8" x14ac:dyDescent="0.25">
      <c r="A449" t="s">
        <v>41</v>
      </c>
      <c r="B449" t="s">
        <v>555</v>
      </c>
      <c r="C449" t="s">
        <v>1116</v>
      </c>
      <c r="D449" t="s">
        <v>1120</v>
      </c>
      <c r="E449">
        <v>64.98</v>
      </c>
      <c r="F449">
        <v>257258</v>
      </c>
      <c r="G449" t="s">
        <v>1131</v>
      </c>
      <c r="H449" t="s">
        <v>1134</v>
      </c>
    </row>
    <row r="450" spans="1:8" x14ac:dyDescent="0.25">
      <c r="A450" t="s">
        <v>80</v>
      </c>
      <c r="B450" t="s">
        <v>556</v>
      </c>
      <c r="C450" t="s">
        <v>1111</v>
      </c>
      <c r="D450" t="s">
        <v>1126</v>
      </c>
      <c r="E450">
        <v>92.6</v>
      </c>
      <c r="F450">
        <v>872160</v>
      </c>
      <c r="G450" t="s">
        <v>1128</v>
      </c>
      <c r="H450" t="s">
        <v>1133</v>
      </c>
    </row>
    <row r="451" spans="1:8" x14ac:dyDescent="0.25">
      <c r="A451" t="s">
        <v>106</v>
      </c>
      <c r="B451" t="s">
        <v>557</v>
      </c>
      <c r="C451" t="s">
        <v>1115</v>
      </c>
      <c r="D451" t="s">
        <v>1126</v>
      </c>
      <c r="E451">
        <v>81.069999999999993</v>
      </c>
      <c r="F451">
        <v>104455</v>
      </c>
      <c r="G451" t="s">
        <v>1129</v>
      </c>
      <c r="H451" t="s">
        <v>1133</v>
      </c>
    </row>
    <row r="452" spans="1:8" x14ac:dyDescent="0.25">
      <c r="A452" t="s">
        <v>26</v>
      </c>
      <c r="B452" t="s">
        <v>558</v>
      </c>
      <c r="C452" t="s">
        <v>1110</v>
      </c>
      <c r="D452" t="s">
        <v>1118</v>
      </c>
      <c r="E452">
        <v>55.22</v>
      </c>
      <c r="F452">
        <v>993701</v>
      </c>
      <c r="G452" t="s">
        <v>1132</v>
      </c>
      <c r="H452" t="s">
        <v>1133</v>
      </c>
    </row>
    <row r="453" spans="1:8" x14ac:dyDescent="0.25">
      <c r="A453" t="s">
        <v>68</v>
      </c>
      <c r="B453" t="s">
        <v>559</v>
      </c>
      <c r="C453" t="s">
        <v>1109</v>
      </c>
      <c r="D453" t="s">
        <v>1123</v>
      </c>
      <c r="E453">
        <v>75.11</v>
      </c>
      <c r="F453">
        <v>257532</v>
      </c>
      <c r="G453" t="s">
        <v>1131</v>
      </c>
      <c r="H453" t="s">
        <v>1133</v>
      </c>
    </row>
    <row r="454" spans="1:8" x14ac:dyDescent="0.25">
      <c r="A454" t="s">
        <v>44</v>
      </c>
      <c r="B454" t="s">
        <v>560</v>
      </c>
      <c r="C454" t="s">
        <v>1114</v>
      </c>
      <c r="D454" t="s">
        <v>1121</v>
      </c>
      <c r="E454">
        <v>45.51</v>
      </c>
      <c r="F454">
        <v>639698</v>
      </c>
      <c r="G454" t="s">
        <v>1129</v>
      </c>
      <c r="H454" t="s">
        <v>1134</v>
      </c>
    </row>
    <row r="455" spans="1:8" x14ac:dyDescent="0.25">
      <c r="A455" t="s">
        <v>13</v>
      </c>
      <c r="B455" t="s">
        <v>561</v>
      </c>
      <c r="C455" t="s">
        <v>1116</v>
      </c>
      <c r="D455" t="s">
        <v>1124</v>
      </c>
      <c r="E455">
        <v>97.08</v>
      </c>
      <c r="F455">
        <v>494139</v>
      </c>
      <c r="G455" t="s">
        <v>1129</v>
      </c>
      <c r="H455" t="s">
        <v>1133</v>
      </c>
    </row>
    <row r="456" spans="1:8" x14ac:dyDescent="0.25">
      <c r="A456" t="s">
        <v>67</v>
      </c>
      <c r="B456" t="s">
        <v>562</v>
      </c>
      <c r="C456" t="s">
        <v>1111</v>
      </c>
      <c r="D456" t="s">
        <v>1118</v>
      </c>
      <c r="E456">
        <v>68.569999999999993</v>
      </c>
      <c r="F456">
        <v>688986</v>
      </c>
      <c r="G456" t="s">
        <v>1131</v>
      </c>
      <c r="H456" t="s">
        <v>1133</v>
      </c>
    </row>
    <row r="457" spans="1:8" x14ac:dyDescent="0.25">
      <c r="A457" t="s">
        <v>92</v>
      </c>
      <c r="B457" t="s">
        <v>563</v>
      </c>
      <c r="C457" t="s">
        <v>1117</v>
      </c>
      <c r="D457" t="s">
        <v>1118</v>
      </c>
      <c r="E457">
        <v>80.31</v>
      </c>
      <c r="F457">
        <v>638799</v>
      </c>
      <c r="G457" t="s">
        <v>1128</v>
      </c>
      <c r="H457" t="s">
        <v>1133</v>
      </c>
    </row>
    <row r="458" spans="1:8" x14ac:dyDescent="0.25">
      <c r="A458" t="s">
        <v>29</v>
      </c>
      <c r="B458" t="s">
        <v>564</v>
      </c>
      <c r="C458" t="s">
        <v>1115</v>
      </c>
      <c r="D458" t="s">
        <v>1125</v>
      </c>
      <c r="E458">
        <v>61.64</v>
      </c>
      <c r="F458">
        <v>781191</v>
      </c>
      <c r="G458" t="s">
        <v>1130</v>
      </c>
      <c r="H458" t="s">
        <v>1133</v>
      </c>
    </row>
    <row r="459" spans="1:8" x14ac:dyDescent="0.25">
      <c r="A459" t="s">
        <v>90</v>
      </c>
      <c r="B459" t="s">
        <v>565</v>
      </c>
      <c r="C459" t="s">
        <v>1111</v>
      </c>
      <c r="D459" t="s">
        <v>1123</v>
      </c>
      <c r="E459">
        <v>71.83</v>
      </c>
      <c r="F459">
        <v>943944</v>
      </c>
      <c r="G459" t="s">
        <v>1132</v>
      </c>
      <c r="H459" t="s">
        <v>1134</v>
      </c>
    </row>
    <row r="460" spans="1:8" x14ac:dyDescent="0.25">
      <c r="A460" t="s">
        <v>89</v>
      </c>
      <c r="B460" t="s">
        <v>566</v>
      </c>
      <c r="C460" t="s">
        <v>1111</v>
      </c>
      <c r="D460" t="s">
        <v>1119</v>
      </c>
      <c r="E460">
        <v>74.16</v>
      </c>
      <c r="F460">
        <v>219356</v>
      </c>
      <c r="G460" t="s">
        <v>1132</v>
      </c>
      <c r="H460" t="s">
        <v>1133</v>
      </c>
    </row>
    <row r="461" spans="1:8" x14ac:dyDescent="0.25">
      <c r="A461" t="s">
        <v>104</v>
      </c>
      <c r="B461" t="s">
        <v>567</v>
      </c>
      <c r="C461" t="s">
        <v>1108</v>
      </c>
      <c r="D461" t="s">
        <v>1127</v>
      </c>
      <c r="E461">
        <v>61.18</v>
      </c>
      <c r="F461">
        <v>931057</v>
      </c>
      <c r="G461" t="s">
        <v>1129</v>
      </c>
      <c r="H461" t="s">
        <v>1134</v>
      </c>
    </row>
    <row r="462" spans="1:8" x14ac:dyDescent="0.25">
      <c r="A462" t="s">
        <v>17</v>
      </c>
      <c r="B462" t="s">
        <v>568</v>
      </c>
      <c r="C462" t="s">
        <v>1112</v>
      </c>
      <c r="D462" t="s">
        <v>1118</v>
      </c>
      <c r="E462">
        <v>52.29</v>
      </c>
      <c r="F462">
        <v>187319</v>
      </c>
      <c r="G462" t="s">
        <v>1132</v>
      </c>
      <c r="H462" t="s">
        <v>1134</v>
      </c>
    </row>
    <row r="463" spans="1:8" x14ac:dyDescent="0.25">
      <c r="A463" t="s">
        <v>104</v>
      </c>
      <c r="B463" t="s">
        <v>569</v>
      </c>
      <c r="C463" t="s">
        <v>1108</v>
      </c>
      <c r="D463" t="s">
        <v>1124</v>
      </c>
      <c r="E463">
        <v>48.58</v>
      </c>
      <c r="F463">
        <v>316167</v>
      </c>
      <c r="G463" t="s">
        <v>1129</v>
      </c>
      <c r="H463" t="s">
        <v>1134</v>
      </c>
    </row>
    <row r="464" spans="1:8" x14ac:dyDescent="0.25">
      <c r="A464" t="s">
        <v>107</v>
      </c>
      <c r="B464" t="s">
        <v>570</v>
      </c>
      <c r="C464" t="s">
        <v>1112</v>
      </c>
      <c r="D464" t="s">
        <v>1122</v>
      </c>
      <c r="E464">
        <v>96.67</v>
      </c>
      <c r="F464">
        <v>722465</v>
      </c>
      <c r="G464" t="s">
        <v>1128</v>
      </c>
      <c r="H464" t="s">
        <v>1133</v>
      </c>
    </row>
    <row r="465" spans="1:8" x14ac:dyDescent="0.25">
      <c r="A465" t="s">
        <v>76</v>
      </c>
      <c r="B465" t="s">
        <v>571</v>
      </c>
      <c r="C465" t="s">
        <v>1109</v>
      </c>
      <c r="D465" t="s">
        <v>1124</v>
      </c>
      <c r="E465">
        <v>36.71</v>
      </c>
      <c r="F465">
        <v>117738</v>
      </c>
      <c r="G465" t="s">
        <v>1128</v>
      </c>
      <c r="H465" t="s">
        <v>1133</v>
      </c>
    </row>
    <row r="466" spans="1:8" x14ac:dyDescent="0.25">
      <c r="A466" t="s">
        <v>66</v>
      </c>
      <c r="B466" t="s">
        <v>572</v>
      </c>
      <c r="C466" t="s">
        <v>1117</v>
      </c>
      <c r="D466" t="s">
        <v>1124</v>
      </c>
      <c r="E466">
        <v>61.43</v>
      </c>
      <c r="F466">
        <v>972219</v>
      </c>
      <c r="G466" t="s">
        <v>1128</v>
      </c>
      <c r="H466" t="s">
        <v>1133</v>
      </c>
    </row>
    <row r="467" spans="1:8" x14ac:dyDescent="0.25">
      <c r="A467" t="s">
        <v>40</v>
      </c>
      <c r="B467" t="s">
        <v>573</v>
      </c>
      <c r="C467" t="s">
        <v>1115</v>
      </c>
      <c r="D467" t="s">
        <v>1122</v>
      </c>
      <c r="E467">
        <v>83.35</v>
      </c>
      <c r="F467">
        <v>501954</v>
      </c>
      <c r="G467" t="s">
        <v>1128</v>
      </c>
      <c r="H467" t="s">
        <v>1133</v>
      </c>
    </row>
    <row r="468" spans="1:8" x14ac:dyDescent="0.25">
      <c r="A468" t="s">
        <v>9</v>
      </c>
      <c r="B468" t="s">
        <v>574</v>
      </c>
      <c r="C468" t="s">
        <v>1115</v>
      </c>
      <c r="D468" t="s">
        <v>1122</v>
      </c>
      <c r="E468">
        <v>84.51</v>
      </c>
      <c r="F468">
        <v>108276</v>
      </c>
      <c r="G468" t="s">
        <v>1131</v>
      </c>
      <c r="H468" t="s">
        <v>1133</v>
      </c>
    </row>
    <row r="469" spans="1:8" x14ac:dyDescent="0.25">
      <c r="A469" t="s">
        <v>95</v>
      </c>
      <c r="B469" t="s">
        <v>575</v>
      </c>
      <c r="C469" t="s">
        <v>1113</v>
      </c>
      <c r="D469" t="s">
        <v>1119</v>
      </c>
      <c r="E469">
        <v>50.84</v>
      </c>
      <c r="F469">
        <v>437597</v>
      </c>
      <c r="G469" t="s">
        <v>1130</v>
      </c>
      <c r="H469" t="s">
        <v>1133</v>
      </c>
    </row>
    <row r="470" spans="1:8" x14ac:dyDescent="0.25">
      <c r="A470" t="s">
        <v>17</v>
      </c>
      <c r="B470" t="s">
        <v>576</v>
      </c>
      <c r="C470" t="s">
        <v>1108</v>
      </c>
      <c r="D470" t="s">
        <v>1124</v>
      </c>
      <c r="E470">
        <v>55.45</v>
      </c>
      <c r="F470">
        <v>842340</v>
      </c>
      <c r="G470" t="s">
        <v>1130</v>
      </c>
      <c r="H470" t="s">
        <v>1134</v>
      </c>
    </row>
    <row r="471" spans="1:8" x14ac:dyDescent="0.25">
      <c r="A471" t="s">
        <v>104</v>
      </c>
      <c r="B471" t="s">
        <v>577</v>
      </c>
      <c r="C471" t="s">
        <v>1108</v>
      </c>
      <c r="D471" t="s">
        <v>1123</v>
      </c>
      <c r="E471">
        <v>66.17</v>
      </c>
      <c r="F471">
        <v>676871</v>
      </c>
      <c r="G471" t="s">
        <v>1128</v>
      </c>
      <c r="H471" t="s">
        <v>1134</v>
      </c>
    </row>
    <row r="472" spans="1:8" x14ac:dyDescent="0.25">
      <c r="A472" t="s">
        <v>14</v>
      </c>
      <c r="B472" t="s">
        <v>578</v>
      </c>
      <c r="C472" t="s">
        <v>1110</v>
      </c>
      <c r="D472" t="s">
        <v>1123</v>
      </c>
      <c r="E472">
        <v>94.91</v>
      </c>
      <c r="F472">
        <v>366718</v>
      </c>
      <c r="G472" t="s">
        <v>1132</v>
      </c>
      <c r="H472" t="s">
        <v>1133</v>
      </c>
    </row>
    <row r="473" spans="1:8" x14ac:dyDescent="0.25">
      <c r="A473" t="s">
        <v>91</v>
      </c>
      <c r="B473" t="s">
        <v>579</v>
      </c>
      <c r="C473" t="s">
        <v>1109</v>
      </c>
      <c r="D473" t="s">
        <v>1122</v>
      </c>
      <c r="E473">
        <v>95.02</v>
      </c>
      <c r="F473">
        <v>822794</v>
      </c>
      <c r="G473" t="s">
        <v>1128</v>
      </c>
      <c r="H473" t="s">
        <v>1133</v>
      </c>
    </row>
    <row r="474" spans="1:8" x14ac:dyDescent="0.25">
      <c r="A474" t="s">
        <v>22</v>
      </c>
      <c r="B474" t="s">
        <v>580</v>
      </c>
      <c r="C474" t="s">
        <v>1116</v>
      </c>
      <c r="D474" t="s">
        <v>1120</v>
      </c>
      <c r="E474">
        <v>58.44</v>
      </c>
      <c r="F474">
        <v>602839</v>
      </c>
      <c r="G474" t="s">
        <v>1131</v>
      </c>
      <c r="H474" t="s">
        <v>1134</v>
      </c>
    </row>
    <row r="475" spans="1:8" x14ac:dyDescent="0.25">
      <c r="A475" t="s">
        <v>13</v>
      </c>
      <c r="B475" t="s">
        <v>581</v>
      </c>
      <c r="C475" t="s">
        <v>1115</v>
      </c>
      <c r="D475" t="s">
        <v>1123</v>
      </c>
      <c r="E475">
        <v>85.69</v>
      </c>
      <c r="F475">
        <v>861399</v>
      </c>
      <c r="G475" t="s">
        <v>1129</v>
      </c>
      <c r="H475" t="s">
        <v>1134</v>
      </c>
    </row>
    <row r="476" spans="1:8" x14ac:dyDescent="0.25">
      <c r="A476" t="s">
        <v>52</v>
      </c>
      <c r="B476" t="s">
        <v>582</v>
      </c>
      <c r="C476" t="s">
        <v>1108</v>
      </c>
      <c r="D476" t="s">
        <v>1121</v>
      </c>
      <c r="E476">
        <v>93.66</v>
      </c>
      <c r="F476">
        <v>514179</v>
      </c>
      <c r="G476" t="s">
        <v>1130</v>
      </c>
      <c r="H476" t="s">
        <v>1133</v>
      </c>
    </row>
    <row r="477" spans="1:8" x14ac:dyDescent="0.25">
      <c r="A477" t="s">
        <v>106</v>
      </c>
      <c r="B477" t="s">
        <v>583</v>
      </c>
      <c r="C477" t="s">
        <v>1114</v>
      </c>
      <c r="D477" t="s">
        <v>1123</v>
      </c>
      <c r="E477">
        <v>67.77</v>
      </c>
      <c r="F477">
        <v>265708</v>
      </c>
      <c r="G477" t="s">
        <v>1132</v>
      </c>
      <c r="H477" t="s">
        <v>1133</v>
      </c>
    </row>
    <row r="478" spans="1:8" x14ac:dyDescent="0.25">
      <c r="A478" t="s">
        <v>77</v>
      </c>
      <c r="B478" t="s">
        <v>584</v>
      </c>
      <c r="C478" t="s">
        <v>1117</v>
      </c>
      <c r="D478" t="s">
        <v>1120</v>
      </c>
      <c r="E478">
        <v>87.36</v>
      </c>
      <c r="F478">
        <v>401577</v>
      </c>
      <c r="G478" t="s">
        <v>1132</v>
      </c>
      <c r="H478" t="s">
        <v>1134</v>
      </c>
    </row>
    <row r="479" spans="1:8" x14ac:dyDescent="0.25">
      <c r="A479" t="s">
        <v>69</v>
      </c>
      <c r="B479" t="s">
        <v>585</v>
      </c>
      <c r="C479" t="s">
        <v>1108</v>
      </c>
      <c r="D479" t="s">
        <v>1123</v>
      </c>
      <c r="E479">
        <v>80.23</v>
      </c>
      <c r="F479">
        <v>943421</v>
      </c>
      <c r="G479" t="s">
        <v>1130</v>
      </c>
      <c r="H479" t="s">
        <v>1133</v>
      </c>
    </row>
    <row r="480" spans="1:8" x14ac:dyDescent="0.25">
      <c r="A480" t="s">
        <v>40</v>
      </c>
      <c r="B480" t="s">
        <v>586</v>
      </c>
      <c r="C480" t="s">
        <v>1114</v>
      </c>
      <c r="D480" t="s">
        <v>1124</v>
      </c>
      <c r="E480">
        <v>97.13</v>
      </c>
      <c r="F480">
        <v>410831</v>
      </c>
      <c r="G480" t="s">
        <v>1130</v>
      </c>
      <c r="H480" t="s">
        <v>1133</v>
      </c>
    </row>
    <row r="481" spans="1:8" x14ac:dyDescent="0.25">
      <c r="A481" t="s">
        <v>17</v>
      </c>
      <c r="B481" t="s">
        <v>587</v>
      </c>
      <c r="C481" t="s">
        <v>1113</v>
      </c>
      <c r="D481" t="s">
        <v>1120</v>
      </c>
      <c r="E481">
        <v>38.35</v>
      </c>
      <c r="F481">
        <v>743038</v>
      </c>
      <c r="G481" t="s">
        <v>1128</v>
      </c>
      <c r="H481" t="s">
        <v>1133</v>
      </c>
    </row>
    <row r="482" spans="1:8" x14ac:dyDescent="0.25">
      <c r="A482" t="s">
        <v>104</v>
      </c>
      <c r="B482" t="s">
        <v>588</v>
      </c>
      <c r="C482" t="s">
        <v>1116</v>
      </c>
      <c r="D482" t="s">
        <v>1121</v>
      </c>
      <c r="E482">
        <v>54.85</v>
      </c>
      <c r="F482">
        <v>915897</v>
      </c>
      <c r="G482" t="s">
        <v>1131</v>
      </c>
      <c r="H482" t="s">
        <v>1133</v>
      </c>
    </row>
    <row r="483" spans="1:8" x14ac:dyDescent="0.25">
      <c r="A483" t="s">
        <v>45</v>
      </c>
      <c r="B483" t="s">
        <v>589</v>
      </c>
      <c r="C483" t="s">
        <v>1111</v>
      </c>
      <c r="D483" t="s">
        <v>1118</v>
      </c>
      <c r="E483">
        <v>40.89</v>
      </c>
      <c r="F483">
        <v>981019</v>
      </c>
      <c r="G483" t="s">
        <v>1128</v>
      </c>
      <c r="H483" t="s">
        <v>1133</v>
      </c>
    </row>
    <row r="484" spans="1:8" x14ac:dyDescent="0.25">
      <c r="A484" t="s">
        <v>98</v>
      </c>
      <c r="B484" t="s">
        <v>590</v>
      </c>
      <c r="C484" t="s">
        <v>1108</v>
      </c>
      <c r="D484" t="s">
        <v>1122</v>
      </c>
      <c r="E484">
        <v>42.22</v>
      </c>
      <c r="F484">
        <v>997016</v>
      </c>
      <c r="G484" t="s">
        <v>1131</v>
      </c>
      <c r="H484" t="s">
        <v>1134</v>
      </c>
    </row>
    <row r="485" spans="1:8" x14ac:dyDescent="0.25">
      <c r="A485" t="s">
        <v>63</v>
      </c>
      <c r="B485" t="s">
        <v>591</v>
      </c>
      <c r="C485" t="s">
        <v>1117</v>
      </c>
      <c r="D485" t="s">
        <v>1122</v>
      </c>
      <c r="E485">
        <v>80.61</v>
      </c>
      <c r="F485">
        <v>300569</v>
      </c>
      <c r="G485" t="s">
        <v>1130</v>
      </c>
      <c r="H485" t="s">
        <v>1133</v>
      </c>
    </row>
    <row r="486" spans="1:8" x14ac:dyDescent="0.25">
      <c r="A486" t="s">
        <v>70</v>
      </c>
      <c r="B486" t="s">
        <v>592</v>
      </c>
      <c r="C486" t="s">
        <v>1117</v>
      </c>
      <c r="D486" t="s">
        <v>1119</v>
      </c>
      <c r="E486">
        <v>76.55</v>
      </c>
      <c r="F486">
        <v>706730</v>
      </c>
      <c r="G486" t="s">
        <v>1128</v>
      </c>
      <c r="H486" t="s">
        <v>1134</v>
      </c>
    </row>
    <row r="487" spans="1:8" x14ac:dyDescent="0.25">
      <c r="A487" t="s">
        <v>83</v>
      </c>
      <c r="B487" t="s">
        <v>593</v>
      </c>
      <c r="C487" t="s">
        <v>1112</v>
      </c>
      <c r="D487" t="s">
        <v>1120</v>
      </c>
      <c r="E487">
        <v>37.200000000000003</v>
      </c>
      <c r="F487">
        <v>145239</v>
      </c>
      <c r="G487" t="s">
        <v>1131</v>
      </c>
      <c r="H487" t="s">
        <v>1134</v>
      </c>
    </row>
    <row r="488" spans="1:8" x14ac:dyDescent="0.25">
      <c r="A488" t="s">
        <v>85</v>
      </c>
      <c r="B488" t="s">
        <v>594</v>
      </c>
      <c r="C488" t="s">
        <v>1115</v>
      </c>
      <c r="D488" t="s">
        <v>1119</v>
      </c>
      <c r="E488">
        <v>41.03</v>
      </c>
      <c r="F488">
        <v>711815</v>
      </c>
      <c r="G488" t="s">
        <v>1132</v>
      </c>
      <c r="H488" t="s">
        <v>1133</v>
      </c>
    </row>
    <row r="489" spans="1:8" x14ac:dyDescent="0.25">
      <c r="A489" t="s">
        <v>73</v>
      </c>
      <c r="B489" t="s">
        <v>595</v>
      </c>
      <c r="C489" t="s">
        <v>1116</v>
      </c>
      <c r="D489" t="s">
        <v>1125</v>
      </c>
      <c r="E489">
        <v>50.31</v>
      </c>
      <c r="F489">
        <v>266313</v>
      </c>
      <c r="G489" t="s">
        <v>1128</v>
      </c>
      <c r="H489" t="s">
        <v>1133</v>
      </c>
    </row>
    <row r="490" spans="1:8" x14ac:dyDescent="0.25">
      <c r="A490" t="s">
        <v>85</v>
      </c>
      <c r="B490" t="s">
        <v>596</v>
      </c>
      <c r="C490" t="s">
        <v>1112</v>
      </c>
      <c r="D490" t="s">
        <v>1118</v>
      </c>
      <c r="E490">
        <v>70.98</v>
      </c>
      <c r="F490">
        <v>808561</v>
      </c>
      <c r="G490" t="s">
        <v>1131</v>
      </c>
      <c r="H490" t="s">
        <v>1134</v>
      </c>
    </row>
    <row r="491" spans="1:8" x14ac:dyDescent="0.25">
      <c r="A491" t="s">
        <v>101</v>
      </c>
      <c r="B491" t="s">
        <v>597</v>
      </c>
      <c r="C491" t="s">
        <v>1110</v>
      </c>
      <c r="D491" t="s">
        <v>1120</v>
      </c>
      <c r="E491">
        <v>36.4</v>
      </c>
      <c r="F491">
        <v>648597</v>
      </c>
      <c r="G491" t="s">
        <v>1130</v>
      </c>
      <c r="H491" t="s">
        <v>1133</v>
      </c>
    </row>
    <row r="492" spans="1:8" x14ac:dyDescent="0.25">
      <c r="A492" t="s">
        <v>59</v>
      </c>
      <c r="B492" t="s">
        <v>598</v>
      </c>
      <c r="C492" t="s">
        <v>1109</v>
      </c>
      <c r="D492" t="s">
        <v>1118</v>
      </c>
      <c r="E492">
        <v>67.540000000000006</v>
      </c>
      <c r="F492">
        <v>548470</v>
      </c>
      <c r="G492" t="s">
        <v>1128</v>
      </c>
      <c r="H492" t="s">
        <v>1133</v>
      </c>
    </row>
    <row r="493" spans="1:8" x14ac:dyDescent="0.25">
      <c r="A493" t="s">
        <v>22</v>
      </c>
      <c r="B493" t="s">
        <v>599</v>
      </c>
      <c r="C493" t="s">
        <v>1112</v>
      </c>
      <c r="D493" t="s">
        <v>1120</v>
      </c>
      <c r="E493">
        <v>70.09</v>
      </c>
      <c r="F493">
        <v>710866</v>
      </c>
      <c r="G493" t="s">
        <v>1131</v>
      </c>
      <c r="H493" t="s">
        <v>1133</v>
      </c>
    </row>
    <row r="494" spans="1:8" x14ac:dyDescent="0.25">
      <c r="A494" t="s">
        <v>31</v>
      </c>
      <c r="B494" t="s">
        <v>600</v>
      </c>
      <c r="C494" t="s">
        <v>1114</v>
      </c>
      <c r="D494" t="s">
        <v>1120</v>
      </c>
      <c r="E494">
        <v>37</v>
      </c>
      <c r="F494">
        <v>903562</v>
      </c>
      <c r="G494" t="s">
        <v>1131</v>
      </c>
      <c r="H494" t="s">
        <v>1133</v>
      </c>
    </row>
    <row r="495" spans="1:8" x14ac:dyDescent="0.25">
      <c r="A495" t="s">
        <v>14</v>
      </c>
      <c r="B495" t="s">
        <v>601</v>
      </c>
      <c r="C495" t="s">
        <v>1109</v>
      </c>
      <c r="D495" t="s">
        <v>1122</v>
      </c>
      <c r="E495">
        <v>89.19</v>
      </c>
      <c r="F495">
        <v>354602</v>
      </c>
      <c r="G495" t="s">
        <v>1130</v>
      </c>
      <c r="H495" t="s">
        <v>1133</v>
      </c>
    </row>
    <row r="496" spans="1:8" x14ac:dyDescent="0.25">
      <c r="A496" t="s">
        <v>8</v>
      </c>
      <c r="B496" t="s">
        <v>602</v>
      </c>
      <c r="C496" t="s">
        <v>1112</v>
      </c>
      <c r="D496" t="s">
        <v>1124</v>
      </c>
      <c r="E496">
        <v>87.61</v>
      </c>
      <c r="F496">
        <v>950775</v>
      </c>
      <c r="G496" t="s">
        <v>1132</v>
      </c>
      <c r="H496" t="s">
        <v>1133</v>
      </c>
    </row>
    <row r="497" spans="1:8" x14ac:dyDescent="0.25">
      <c r="A497" t="s">
        <v>57</v>
      </c>
      <c r="B497" t="s">
        <v>603</v>
      </c>
      <c r="C497" t="s">
        <v>1117</v>
      </c>
      <c r="D497" t="s">
        <v>1120</v>
      </c>
      <c r="E497">
        <v>91.25</v>
      </c>
      <c r="F497">
        <v>274375</v>
      </c>
      <c r="G497" t="s">
        <v>1132</v>
      </c>
      <c r="H497" t="s">
        <v>1133</v>
      </c>
    </row>
    <row r="498" spans="1:8" x14ac:dyDescent="0.25">
      <c r="A498" t="s">
        <v>33</v>
      </c>
      <c r="B498" t="s">
        <v>604</v>
      </c>
      <c r="C498" t="s">
        <v>1115</v>
      </c>
      <c r="D498" t="s">
        <v>1120</v>
      </c>
      <c r="E498">
        <v>59.92</v>
      </c>
      <c r="F498">
        <v>930959</v>
      </c>
      <c r="G498" t="s">
        <v>1129</v>
      </c>
      <c r="H498" t="s">
        <v>1133</v>
      </c>
    </row>
    <row r="499" spans="1:8" x14ac:dyDescent="0.25">
      <c r="A499" t="s">
        <v>60</v>
      </c>
      <c r="B499" t="s">
        <v>605</v>
      </c>
      <c r="C499" t="s">
        <v>1115</v>
      </c>
      <c r="D499" t="s">
        <v>1119</v>
      </c>
      <c r="E499">
        <v>50.47</v>
      </c>
      <c r="F499">
        <v>767781</v>
      </c>
      <c r="G499" t="s">
        <v>1130</v>
      </c>
      <c r="H499" t="s">
        <v>1133</v>
      </c>
    </row>
    <row r="500" spans="1:8" x14ac:dyDescent="0.25">
      <c r="A500" t="s">
        <v>29</v>
      </c>
      <c r="B500" t="s">
        <v>606</v>
      </c>
      <c r="C500" t="s">
        <v>1111</v>
      </c>
      <c r="D500" t="s">
        <v>1125</v>
      </c>
      <c r="E500">
        <v>69.739999999999995</v>
      </c>
      <c r="F500">
        <v>323305</v>
      </c>
      <c r="G500" t="s">
        <v>1130</v>
      </c>
      <c r="H500" t="s">
        <v>1133</v>
      </c>
    </row>
    <row r="501" spans="1:8" x14ac:dyDescent="0.25">
      <c r="A501" t="s">
        <v>14</v>
      </c>
      <c r="B501" t="s">
        <v>607</v>
      </c>
      <c r="C501" t="s">
        <v>1116</v>
      </c>
      <c r="D501" t="s">
        <v>1118</v>
      </c>
      <c r="E501">
        <v>73.489999999999995</v>
      </c>
      <c r="F501">
        <v>689756</v>
      </c>
      <c r="G501" t="s">
        <v>1129</v>
      </c>
      <c r="H501" t="s">
        <v>1134</v>
      </c>
    </row>
    <row r="502" spans="1:8" x14ac:dyDescent="0.25">
      <c r="A502" t="s">
        <v>84</v>
      </c>
      <c r="B502" t="s">
        <v>608</v>
      </c>
      <c r="C502" t="s">
        <v>1112</v>
      </c>
      <c r="D502" t="s">
        <v>1126</v>
      </c>
      <c r="E502">
        <v>63.31</v>
      </c>
      <c r="F502">
        <v>440155</v>
      </c>
      <c r="G502" t="s">
        <v>1132</v>
      </c>
      <c r="H502" t="s">
        <v>1133</v>
      </c>
    </row>
    <row r="503" spans="1:8" x14ac:dyDescent="0.25">
      <c r="A503" t="s">
        <v>36</v>
      </c>
      <c r="B503" t="s">
        <v>609</v>
      </c>
      <c r="C503" t="s">
        <v>1111</v>
      </c>
      <c r="D503" t="s">
        <v>1124</v>
      </c>
      <c r="E503">
        <v>81.98</v>
      </c>
      <c r="F503">
        <v>705946</v>
      </c>
      <c r="G503" t="s">
        <v>1128</v>
      </c>
      <c r="H503" t="s">
        <v>1133</v>
      </c>
    </row>
    <row r="504" spans="1:8" x14ac:dyDescent="0.25">
      <c r="A504" t="s">
        <v>42</v>
      </c>
      <c r="B504" t="s">
        <v>610</v>
      </c>
      <c r="C504" t="s">
        <v>1117</v>
      </c>
      <c r="D504" t="s">
        <v>1122</v>
      </c>
      <c r="E504">
        <v>38.21</v>
      </c>
      <c r="F504">
        <v>972091</v>
      </c>
      <c r="G504" t="s">
        <v>1131</v>
      </c>
      <c r="H504" t="s">
        <v>1133</v>
      </c>
    </row>
    <row r="505" spans="1:8" x14ac:dyDescent="0.25">
      <c r="A505" t="s">
        <v>79</v>
      </c>
      <c r="B505" t="s">
        <v>611</v>
      </c>
      <c r="C505" t="s">
        <v>1115</v>
      </c>
      <c r="D505" t="s">
        <v>1118</v>
      </c>
      <c r="E505">
        <v>62.68</v>
      </c>
      <c r="F505">
        <v>748130</v>
      </c>
      <c r="G505" t="s">
        <v>1130</v>
      </c>
      <c r="H505" t="s">
        <v>1133</v>
      </c>
    </row>
    <row r="506" spans="1:8" x14ac:dyDescent="0.25">
      <c r="A506" t="s">
        <v>98</v>
      </c>
      <c r="B506" t="s">
        <v>612</v>
      </c>
      <c r="C506" t="s">
        <v>1112</v>
      </c>
      <c r="D506" t="s">
        <v>1126</v>
      </c>
      <c r="E506">
        <v>61.6</v>
      </c>
      <c r="F506">
        <v>216369</v>
      </c>
      <c r="G506" t="s">
        <v>1131</v>
      </c>
      <c r="H506" t="s">
        <v>1133</v>
      </c>
    </row>
    <row r="507" spans="1:8" x14ac:dyDescent="0.25">
      <c r="A507" t="s">
        <v>70</v>
      </c>
      <c r="B507" t="s">
        <v>613</v>
      </c>
      <c r="C507" t="s">
        <v>1108</v>
      </c>
      <c r="D507" t="s">
        <v>1122</v>
      </c>
      <c r="E507">
        <v>74.260000000000005</v>
      </c>
      <c r="F507">
        <v>267890</v>
      </c>
      <c r="G507" t="s">
        <v>1132</v>
      </c>
      <c r="H507" t="s">
        <v>1133</v>
      </c>
    </row>
    <row r="508" spans="1:8" x14ac:dyDescent="0.25">
      <c r="A508" t="s">
        <v>49</v>
      </c>
      <c r="B508" t="s">
        <v>614</v>
      </c>
      <c r="C508" t="s">
        <v>1114</v>
      </c>
      <c r="D508" t="s">
        <v>1124</v>
      </c>
      <c r="E508">
        <v>72.75</v>
      </c>
      <c r="F508">
        <v>197922</v>
      </c>
      <c r="G508" t="s">
        <v>1129</v>
      </c>
      <c r="H508" t="s">
        <v>1134</v>
      </c>
    </row>
    <row r="509" spans="1:8" x14ac:dyDescent="0.25">
      <c r="A509" t="s">
        <v>94</v>
      </c>
      <c r="B509" t="s">
        <v>615</v>
      </c>
      <c r="C509" t="s">
        <v>1116</v>
      </c>
      <c r="D509" t="s">
        <v>1121</v>
      </c>
      <c r="E509">
        <v>86.74</v>
      </c>
      <c r="F509">
        <v>996077</v>
      </c>
      <c r="G509" t="s">
        <v>1131</v>
      </c>
      <c r="H509" t="s">
        <v>1133</v>
      </c>
    </row>
    <row r="510" spans="1:8" x14ac:dyDescent="0.25">
      <c r="A510" t="s">
        <v>65</v>
      </c>
      <c r="B510" t="s">
        <v>616</v>
      </c>
      <c r="C510" t="s">
        <v>1108</v>
      </c>
      <c r="D510" t="s">
        <v>1123</v>
      </c>
      <c r="E510">
        <v>51.88</v>
      </c>
      <c r="F510">
        <v>949935</v>
      </c>
      <c r="G510" t="s">
        <v>1131</v>
      </c>
      <c r="H510" t="s">
        <v>1133</v>
      </c>
    </row>
    <row r="511" spans="1:8" x14ac:dyDescent="0.25">
      <c r="A511" t="s">
        <v>12</v>
      </c>
      <c r="B511" t="s">
        <v>617</v>
      </c>
      <c r="C511" t="s">
        <v>1108</v>
      </c>
      <c r="D511" t="s">
        <v>1127</v>
      </c>
      <c r="E511">
        <v>91.2</v>
      </c>
      <c r="F511">
        <v>179091</v>
      </c>
      <c r="G511" t="s">
        <v>1132</v>
      </c>
      <c r="H511" t="s">
        <v>1133</v>
      </c>
    </row>
    <row r="512" spans="1:8" x14ac:dyDescent="0.25">
      <c r="A512" t="s">
        <v>21</v>
      </c>
      <c r="B512" t="s">
        <v>618</v>
      </c>
      <c r="C512" t="s">
        <v>1115</v>
      </c>
      <c r="D512" t="s">
        <v>1125</v>
      </c>
      <c r="E512">
        <v>39.81</v>
      </c>
      <c r="F512">
        <v>291927</v>
      </c>
      <c r="G512" t="s">
        <v>1129</v>
      </c>
      <c r="H512" t="s">
        <v>1134</v>
      </c>
    </row>
    <row r="513" spans="1:8" x14ac:dyDescent="0.25">
      <c r="A513" t="s">
        <v>33</v>
      </c>
      <c r="B513" t="s">
        <v>619</v>
      </c>
      <c r="C513" t="s">
        <v>1112</v>
      </c>
      <c r="D513" t="s">
        <v>1124</v>
      </c>
      <c r="E513">
        <v>43.31</v>
      </c>
      <c r="F513">
        <v>702926</v>
      </c>
      <c r="G513" t="s">
        <v>1130</v>
      </c>
      <c r="H513" t="s">
        <v>1133</v>
      </c>
    </row>
    <row r="514" spans="1:8" x14ac:dyDescent="0.25">
      <c r="A514" t="s">
        <v>16</v>
      </c>
      <c r="B514" t="s">
        <v>620</v>
      </c>
      <c r="C514" t="s">
        <v>1111</v>
      </c>
      <c r="D514" t="s">
        <v>1119</v>
      </c>
      <c r="E514">
        <v>64.19</v>
      </c>
      <c r="F514">
        <v>933556</v>
      </c>
      <c r="G514" t="s">
        <v>1130</v>
      </c>
      <c r="H514" t="s">
        <v>1133</v>
      </c>
    </row>
    <row r="515" spans="1:8" x14ac:dyDescent="0.25">
      <c r="A515" t="s">
        <v>22</v>
      </c>
      <c r="B515" t="s">
        <v>621</v>
      </c>
      <c r="C515" t="s">
        <v>1111</v>
      </c>
      <c r="D515" t="s">
        <v>1121</v>
      </c>
      <c r="E515">
        <v>90.53</v>
      </c>
      <c r="F515">
        <v>645462</v>
      </c>
      <c r="G515" t="s">
        <v>1131</v>
      </c>
      <c r="H515" t="s">
        <v>1133</v>
      </c>
    </row>
    <row r="516" spans="1:8" x14ac:dyDescent="0.25">
      <c r="A516" t="s">
        <v>41</v>
      </c>
      <c r="B516" t="s">
        <v>622</v>
      </c>
      <c r="C516" t="s">
        <v>1108</v>
      </c>
      <c r="D516" t="s">
        <v>1121</v>
      </c>
      <c r="E516">
        <v>73.69</v>
      </c>
      <c r="F516">
        <v>241074</v>
      </c>
      <c r="G516" t="s">
        <v>1130</v>
      </c>
      <c r="H516" t="s">
        <v>1133</v>
      </c>
    </row>
    <row r="517" spans="1:8" x14ac:dyDescent="0.25">
      <c r="A517" t="s">
        <v>25</v>
      </c>
      <c r="B517" t="s">
        <v>623</v>
      </c>
      <c r="C517" t="s">
        <v>1109</v>
      </c>
      <c r="D517" t="s">
        <v>1124</v>
      </c>
      <c r="E517">
        <v>45.82</v>
      </c>
      <c r="F517">
        <v>423536</v>
      </c>
      <c r="G517" t="s">
        <v>1132</v>
      </c>
      <c r="H517" t="s">
        <v>1133</v>
      </c>
    </row>
    <row r="518" spans="1:8" x14ac:dyDescent="0.25">
      <c r="A518" t="s">
        <v>62</v>
      </c>
      <c r="B518" t="s">
        <v>624</v>
      </c>
      <c r="C518" t="s">
        <v>1115</v>
      </c>
      <c r="D518" t="s">
        <v>1127</v>
      </c>
      <c r="E518">
        <v>99.87</v>
      </c>
      <c r="F518">
        <v>251723</v>
      </c>
      <c r="G518" t="s">
        <v>1129</v>
      </c>
      <c r="H518" t="s">
        <v>1133</v>
      </c>
    </row>
    <row r="519" spans="1:8" x14ac:dyDescent="0.25">
      <c r="A519" t="s">
        <v>82</v>
      </c>
      <c r="B519" t="s">
        <v>625</v>
      </c>
      <c r="C519" t="s">
        <v>1109</v>
      </c>
      <c r="D519" t="s">
        <v>1123</v>
      </c>
      <c r="E519">
        <v>62.17</v>
      </c>
      <c r="F519">
        <v>526331</v>
      </c>
      <c r="G519" t="s">
        <v>1129</v>
      </c>
      <c r="H519" t="s">
        <v>1133</v>
      </c>
    </row>
    <row r="520" spans="1:8" x14ac:dyDescent="0.25">
      <c r="A520" t="s">
        <v>72</v>
      </c>
      <c r="B520" t="s">
        <v>626</v>
      </c>
      <c r="C520" t="s">
        <v>1110</v>
      </c>
      <c r="D520" t="s">
        <v>1121</v>
      </c>
      <c r="E520">
        <v>93.77</v>
      </c>
      <c r="F520">
        <v>664561</v>
      </c>
      <c r="G520" t="s">
        <v>1129</v>
      </c>
      <c r="H520" t="s">
        <v>1134</v>
      </c>
    </row>
    <row r="521" spans="1:8" x14ac:dyDescent="0.25">
      <c r="A521" t="s">
        <v>57</v>
      </c>
      <c r="B521" t="s">
        <v>627</v>
      </c>
      <c r="C521" t="s">
        <v>1108</v>
      </c>
      <c r="D521" t="s">
        <v>1125</v>
      </c>
      <c r="E521">
        <v>92.23</v>
      </c>
      <c r="F521">
        <v>394903</v>
      </c>
      <c r="G521" t="s">
        <v>1130</v>
      </c>
      <c r="H521" t="s">
        <v>1134</v>
      </c>
    </row>
    <row r="522" spans="1:8" x14ac:dyDescent="0.25">
      <c r="A522" t="s">
        <v>68</v>
      </c>
      <c r="B522" t="s">
        <v>628</v>
      </c>
      <c r="C522" t="s">
        <v>1112</v>
      </c>
      <c r="D522" t="s">
        <v>1123</v>
      </c>
      <c r="E522">
        <v>83.7</v>
      </c>
      <c r="F522">
        <v>806822</v>
      </c>
      <c r="G522" t="s">
        <v>1128</v>
      </c>
      <c r="H522" t="s">
        <v>1134</v>
      </c>
    </row>
    <row r="523" spans="1:8" x14ac:dyDescent="0.25">
      <c r="A523" t="s">
        <v>33</v>
      </c>
      <c r="B523" t="s">
        <v>629</v>
      </c>
      <c r="C523" t="s">
        <v>1109</v>
      </c>
      <c r="D523" t="s">
        <v>1120</v>
      </c>
      <c r="E523">
        <v>84.8</v>
      </c>
      <c r="F523">
        <v>316969</v>
      </c>
      <c r="G523" t="s">
        <v>1129</v>
      </c>
      <c r="H523" t="s">
        <v>1133</v>
      </c>
    </row>
    <row r="524" spans="1:8" x14ac:dyDescent="0.25">
      <c r="A524" t="s">
        <v>92</v>
      </c>
      <c r="B524" t="s">
        <v>630</v>
      </c>
      <c r="C524" t="s">
        <v>1112</v>
      </c>
      <c r="D524" t="s">
        <v>1122</v>
      </c>
      <c r="E524">
        <v>65.89</v>
      </c>
      <c r="F524">
        <v>610848</v>
      </c>
      <c r="G524" t="s">
        <v>1128</v>
      </c>
      <c r="H524" t="s">
        <v>1134</v>
      </c>
    </row>
    <row r="525" spans="1:8" x14ac:dyDescent="0.25">
      <c r="A525" t="s">
        <v>12</v>
      </c>
      <c r="B525" t="s">
        <v>631</v>
      </c>
      <c r="C525" t="s">
        <v>1110</v>
      </c>
      <c r="D525" t="s">
        <v>1127</v>
      </c>
      <c r="E525">
        <v>95.88</v>
      </c>
      <c r="F525">
        <v>575026</v>
      </c>
      <c r="G525" t="s">
        <v>1129</v>
      </c>
      <c r="H525" t="s">
        <v>1134</v>
      </c>
    </row>
    <row r="526" spans="1:8" x14ac:dyDescent="0.25">
      <c r="A526" t="s">
        <v>30</v>
      </c>
      <c r="B526" t="s">
        <v>632</v>
      </c>
      <c r="C526" t="s">
        <v>1115</v>
      </c>
      <c r="D526" t="s">
        <v>1122</v>
      </c>
      <c r="E526">
        <v>99.13</v>
      </c>
      <c r="F526">
        <v>346518</v>
      </c>
      <c r="G526" t="s">
        <v>1130</v>
      </c>
      <c r="H526" t="s">
        <v>1133</v>
      </c>
    </row>
    <row r="527" spans="1:8" x14ac:dyDescent="0.25">
      <c r="A527" t="s">
        <v>104</v>
      </c>
      <c r="B527" t="s">
        <v>633</v>
      </c>
      <c r="C527" t="s">
        <v>1108</v>
      </c>
      <c r="D527" t="s">
        <v>1123</v>
      </c>
      <c r="E527">
        <v>87.89</v>
      </c>
      <c r="F527">
        <v>744996</v>
      </c>
      <c r="G527" t="s">
        <v>1132</v>
      </c>
      <c r="H527" t="s">
        <v>1133</v>
      </c>
    </row>
    <row r="528" spans="1:8" x14ac:dyDescent="0.25">
      <c r="A528" t="s">
        <v>70</v>
      </c>
      <c r="B528" t="s">
        <v>634</v>
      </c>
      <c r="C528" t="s">
        <v>1114</v>
      </c>
      <c r="D528" t="s">
        <v>1125</v>
      </c>
      <c r="E528">
        <v>56.39</v>
      </c>
      <c r="F528">
        <v>143646</v>
      </c>
      <c r="G528" t="s">
        <v>1131</v>
      </c>
      <c r="H528" t="s">
        <v>1134</v>
      </c>
    </row>
    <row r="529" spans="1:8" x14ac:dyDescent="0.25">
      <c r="A529" t="s">
        <v>78</v>
      </c>
      <c r="B529" t="s">
        <v>635</v>
      </c>
      <c r="C529" t="s">
        <v>1114</v>
      </c>
      <c r="D529" t="s">
        <v>1127</v>
      </c>
      <c r="E529">
        <v>82.42</v>
      </c>
      <c r="F529">
        <v>645639</v>
      </c>
      <c r="G529" t="s">
        <v>1131</v>
      </c>
      <c r="H529" t="s">
        <v>1133</v>
      </c>
    </row>
    <row r="530" spans="1:8" x14ac:dyDescent="0.25">
      <c r="A530" t="s">
        <v>49</v>
      </c>
      <c r="B530" t="s">
        <v>636</v>
      </c>
      <c r="C530" t="s">
        <v>1108</v>
      </c>
      <c r="D530" t="s">
        <v>1118</v>
      </c>
      <c r="E530">
        <v>56.53</v>
      </c>
      <c r="F530">
        <v>194012</v>
      </c>
      <c r="G530" t="s">
        <v>1128</v>
      </c>
      <c r="H530" t="s">
        <v>1133</v>
      </c>
    </row>
    <row r="531" spans="1:8" x14ac:dyDescent="0.25">
      <c r="A531" t="s">
        <v>49</v>
      </c>
      <c r="B531" t="s">
        <v>637</v>
      </c>
      <c r="C531" t="s">
        <v>1113</v>
      </c>
      <c r="D531" t="s">
        <v>1125</v>
      </c>
      <c r="E531">
        <v>76.36</v>
      </c>
      <c r="F531">
        <v>199190</v>
      </c>
      <c r="G531" t="s">
        <v>1132</v>
      </c>
      <c r="H531" t="s">
        <v>1133</v>
      </c>
    </row>
    <row r="532" spans="1:8" x14ac:dyDescent="0.25">
      <c r="A532" t="s">
        <v>57</v>
      </c>
      <c r="B532" t="s">
        <v>638</v>
      </c>
      <c r="C532" t="s">
        <v>1110</v>
      </c>
      <c r="D532" t="s">
        <v>1120</v>
      </c>
      <c r="E532">
        <v>35.42</v>
      </c>
      <c r="F532">
        <v>555410</v>
      </c>
      <c r="G532" t="s">
        <v>1129</v>
      </c>
      <c r="H532" t="s">
        <v>1134</v>
      </c>
    </row>
    <row r="533" spans="1:8" x14ac:dyDescent="0.25">
      <c r="A533" t="s">
        <v>20</v>
      </c>
      <c r="B533" t="s">
        <v>639</v>
      </c>
      <c r="C533" t="s">
        <v>1112</v>
      </c>
      <c r="D533" t="s">
        <v>1127</v>
      </c>
      <c r="E533">
        <v>69.16</v>
      </c>
      <c r="F533">
        <v>312497</v>
      </c>
      <c r="G533" t="s">
        <v>1129</v>
      </c>
      <c r="H533" t="s">
        <v>1133</v>
      </c>
    </row>
    <row r="534" spans="1:8" x14ac:dyDescent="0.25">
      <c r="A534" t="s">
        <v>56</v>
      </c>
      <c r="B534" t="s">
        <v>640</v>
      </c>
      <c r="C534" t="s">
        <v>1117</v>
      </c>
      <c r="D534" t="s">
        <v>1121</v>
      </c>
      <c r="E534">
        <v>44.95</v>
      </c>
      <c r="F534">
        <v>240153</v>
      </c>
      <c r="G534" t="s">
        <v>1128</v>
      </c>
      <c r="H534" t="s">
        <v>1134</v>
      </c>
    </row>
    <row r="535" spans="1:8" x14ac:dyDescent="0.25">
      <c r="A535" t="s">
        <v>29</v>
      </c>
      <c r="B535" t="s">
        <v>641</v>
      </c>
      <c r="C535" t="s">
        <v>1115</v>
      </c>
      <c r="D535" t="s">
        <v>1127</v>
      </c>
      <c r="E535">
        <v>73.489999999999995</v>
      </c>
      <c r="F535">
        <v>644244</v>
      </c>
      <c r="G535" t="s">
        <v>1130</v>
      </c>
      <c r="H535" t="s">
        <v>1133</v>
      </c>
    </row>
    <row r="536" spans="1:8" x14ac:dyDescent="0.25">
      <c r="A536" t="s">
        <v>45</v>
      </c>
      <c r="B536" t="s">
        <v>642</v>
      </c>
      <c r="C536" t="s">
        <v>1110</v>
      </c>
      <c r="D536" t="s">
        <v>1124</v>
      </c>
      <c r="E536">
        <v>46.85</v>
      </c>
      <c r="F536">
        <v>796996</v>
      </c>
      <c r="G536" t="s">
        <v>1128</v>
      </c>
      <c r="H536" t="s">
        <v>1134</v>
      </c>
    </row>
    <row r="537" spans="1:8" x14ac:dyDescent="0.25">
      <c r="A537" t="s">
        <v>58</v>
      </c>
      <c r="B537" t="s">
        <v>643</v>
      </c>
      <c r="C537" t="s">
        <v>1111</v>
      </c>
      <c r="D537" t="s">
        <v>1125</v>
      </c>
      <c r="E537">
        <v>42.12</v>
      </c>
      <c r="F537">
        <v>867676</v>
      </c>
      <c r="G537" t="s">
        <v>1132</v>
      </c>
      <c r="H537" t="s">
        <v>1134</v>
      </c>
    </row>
    <row r="538" spans="1:8" x14ac:dyDescent="0.25">
      <c r="A538" t="s">
        <v>103</v>
      </c>
      <c r="B538" t="s">
        <v>644</v>
      </c>
      <c r="C538" t="s">
        <v>1108</v>
      </c>
      <c r="D538" t="s">
        <v>1124</v>
      </c>
      <c r="E538">
        <v>40.97</v>
      </c>
      <c r="F538">
        <v>931099</v>
      </c>
      <c r="G538" t="s">
        <v>1132</v>
      </c>
      <c r="H538" t="s">
        <v>1133</v>
      </c>
    </row>
    <row r="539" spans="1:8" x14ac:dyDescent="0.25">
      <c r="A539" t="s">
        <v>10</v>
      </c>
      <c r="B539" t="s">
        <v>645</v>
      </c>
      <c r="C539" t="s">
        <v>1116</v>
      </c>
      <c r="D539" t="s">
        <v>1120</v>
      </c>
      <c r="E539">
        <v>80.489999999999995</v>
      </c>
      <c r="F539">
        <v>691871</v>
      </c>
      <c r="G539" t="s">
        <v>1132</v>
      </c>
      <c r="H539" t="s">
        <v>1133</v>
      </c>
    </row>
    <row r="540" spans="1:8" x14ac:dyDescent="0.25">
      <c r="A540" t="s">
        <v>10</v>
      </c>
      <c r="B540" t="s">
        <v>646</v>
      </c>
      <c r="C540" t="s">
        <v>1117</v>
      </c>
      <c r="D540" t="s">
        <v>1124</v>
      </c>
      <c r="E540">
        <v>51.61</v>
      </c>
      <c r="F540">
        <v>979285</v>
      </c>
      <c r="G540" t="s">
        <v>1128</v>
      </c>
      <c r="H540" t="s">
        <v>1133</v>
      </c>
    </row>
    <row r="541" spans="1:8" x14ac:dyDescent="0.25">
      <c r="A541" t="s">
        <v>40</v>
      </c>
      <c r="B541" t="s">
        <v>647</v>
      </c>
      <c r="C541" t="s">
        <v>1109</v>
      </c>
      <c r="D541" t="s">
        <v>1123</v>
      </c>
      <c r="E541">
        <v>88.3</v>
      </c>
      <c r="F541">
        <v>679736</v>
      </c>
      <c r="G541" t="s">
        <v>1132</v>
      </c>
      <c r="H541" t="s">
        <v>1133</v>
      </c>
    </row>
    <row r="542" spans="1:8" x14ac:dyDescent="0.25">
      <c r="A542" t="s">
        <v>52</v>
      </c>
      <c r="B542" t="s">
        <v>648</v>
      </c>
      <c r="C542" t="s">
        <v>1113</v>
      </c>
      <c r="D542" t="s">
        <v>1123</v>
      </c>
      <c r="E542">
        <v>91.67</v>
      </c>
      <c r="F542">
        <v>621573</v>
      </c>
      <c r="G542" t="s">
        <v>1129</v>
      </c>
      <c r="H542" t="s">
        <v>1133</v>
      </c>
    </row>
    <row r="543" spans="1:8" x14ac:dyDescent="0.25">
      <c r="A543" t="s">
        <v>53</v>
      </c>
      <c r="B543" t="s">
        <v>649</v>
      </c>
      <c r="C543" t="s">
        <v>1113</v>
      </c>
      <c r="D543" t="s">
        <v>1123</v>
      </c>
      <c r="E543">
        <v>74.87</v>
      </c>
      <c r="F543">
        <v>969783</v>
      </c>
      <c r="G543" t="s">
        <v>1131</v>
      </c>
      <c r="H543" t="s">
        <v>1133</v>
      </c>
    </row>
    <row r="544" spans="1:8" x14ac:dyDescent="0.25">
      <c r="A544" t="s">
        <v>27</v>
      </c>
      <c r="B544" t="s">
        <v>650</v>
      </c>
      <c r="C544" t="s">
        <v>1108</v>
      </c>
      <c r="D544" t="s">
        <v>1125</v>
      </c>
      <c r="E544">
        <v>89.93</v>
      </c>
      <c r="F544">
        <v>977250</v>
      </c>
      <c r="G544" t="s">
        <v>1130</v>
      </c>
      <c r="H544" t="s">
        <v>1133</v>
      </c>
    </row>
    <row r="545" spans="1:8" x14ac:dyDescent="0.25">
      <c r="A545" t="s">
        <v>53</v>
      </c>
      <c r="B545" t="s">
        <v>651</v>
      </c>
      <c r="C545" t="s">
        <v>1110</v>
      </c>
      <c r="D545" t="s">
        <v>1124</v>
      </c>
      <c r="E545">
        <v>58.23</v>
      </c>
      <c r="F545">
        <v>844243</v>
      </c>
      <c r="G545" t="s">
        <v>1130</v>
      </c>
      <c r="H545" t="s">
        <v>1133</v>
      </c>
    </row>
    <row r="546" spans="1:8" x14ac:dyDescent="0.25">
      <c r="A546" t="s">
        <v>13</v>
      </c>
      <c r="B546" t="s">
        <v>652</v>
      </c>
      <c r="C546" t="s">
        <v>1113</v>
      </c>
      <c r="D546" t="s">
        <v>1120</v>
      </c>
      <c r="E546">
        <v>56.97</v>
      </c>
      <c r="F546">
        <v>389797</v>
      </c>
      <c r="G546" t="s">
        <v>1131</v>
      </c>
      <c r="H546" t="s">
        <v>1134</v>
      </c>
    </row>
    <row r="547" spans="1:8" x14ac:dyDescent="0.25">
      <c r="A547" t="s">
        <v>103</v>
      </c>
      <c r="B547" t="s">
        <v>653</v>
      </c>
      <c r="C547" t="s">
        <v>1117</v>
      </c>
      <c r="D547" t="s">
        <v>1125</v>
      </c>
      <c r="E547">
        <v>58.22</v>
      </c>
      <c r="F547">
        <v>961922</v>
      </c>
      <c r="G547" t="s">
        <v>1132</v>
      </c>
      <c r="H547" t="s">
        <v>1134</v>
      </c>
    </row>
    <row r="548" spans="1:8" x14ac:dyDescent="0.25">
      <c r="A548" t="s">
        <v>18</v>
      </c>
      <c r="B548" t="s">
        <v>654</v>
      </c>
      <c r="C548" t="s">
        <v>1112</v>
      </c>
      <c r="D548" t="s">
        <v>1120</v>
      </c>
      <c r="E548">
        <v>51.82</v>
      </c>
      <c r="F548">
        <v>862543</v>
      </c>
      <c r="G548" t="s">
        <v>1129</v>
      </c>
      <c r="H548" t="s">
        <v>1134</v>
      </c>
    </row>
    <row r="549" spans="1:8" x14ac:dyDescent="0.25">
      <c r="A549" t="s">
        <v>18</v>
      </c>
      <c r="B549" t="s">
        <v>655</v>
      </c>
      <c r="C549" t="s">
        <v>1115</v>
      </c>
      <c r="D549" t="s">
        <v>1118</v>
      </c>
      <c r="E549">
        <v>86.53</v>
      </c>
      <c r="F549">
        <v>304492</v>
      </c>
      <c r="G549" t="s">
        <v>1128</v>
      </c>
      <c r="H549" t="s">
        <v>1133</v>
      </c>
    </row>
    <row r="550" spans="1:8" x14ac:dyDescent="0.25">
      <c r="A550" t="s">
        <v>101</v>
      </c>
      <c r="B550" t="s">
        <v>656</v>
      </c>
      <c r="C550" t="s">
        <v>1114</v>
      </c>
      <c r="D550" t="s">
        <v>1121</v>
      </c>
      <c r="E550">
        <v>99.64</v>
      </c>
      <c r="F550">
        <v>444131</v>
      </c>
      <c r="G550" t="s">
        <v>1130</v>
      </c>
      <c r="H550" t="s">
        <v>1134</v>
      </c>
    </row>
    <row r="551" spans="1:8" x14ac:dyDescent="0.25">
      <c r="A551" t="s">
        <v>9</v>
      </c>
      <c r="B551" t="s">
        <v>657</v>
      </c>
      <c r="C551" t="s">
        <v>1110</v>
      </c>
      <c r="D551" t="s">
        <v>1124</v>
      </c>
      <c r="E551">
        <v>84.73</v>
      </c>
      <c r="F551">
        <v>723650</v>
      </c>
      <c r="G551" t="s">
        <v>1129</v>
      </c>
      <c r="H551" t="s">
        <v>1134</v>
      </c>
    </row>
    <row r="552" spans="1:8" x14ac:dyDescent="0.25">
      <c r="A552" t="s">
        <v>17</v>
      </c>
      <c r="B552" t="s">
        <v>658</v>
      </c>
      <c r="C552" t="s">
        <v>1113</v>
      </c>
      <c r="D552" t="s">
        <v>1124</v>
      </c>
      <c r="E552">
        <v>37.979999999999997</v>
      </c>
      <c r="F552">
        <v>991833</v>
      </c>
      <c r="G552" t="s">
        <v>1129</v>
      </c>
      <c r="H552" t="s">
        <v>1133</v>
      </c>
    </row>
    <row r="553" spans="1:8" x14ac:dyDescent="0.25">
      <c r="A553" t="s">
        <v>60</v>
      </c>
      <c r="B553" t="s">
        <v>659</v>
      </c>
      <c r="C553" t="s">
        <v>1113</v>
      </c>
      <c r="D553" t="s">
        <v>1118</v>
      </c>
      <c r="E553">
        <v>54.12</v>
      </c>
      <c r="F553">
        <v>179343</v>
      </c>
      <c r="G553" t="s">
        <v>1128</v>
      </c>
      <c r="H553" t="s">
        <v>1134</v>
      </c>
    </row>
    <row r="554" spans="1:8" x14ac:dyDescent="0.25">
      <c r="A554" t="s">
        <v>100</v>
      </c>
      <c r="B554" t="s">
        <v>660</v>
      </c>
      <c r="C554" t="s">
        <v>1116</v>
      </c>
      <c r="D554" t="s">
        <v>1124</v>
      </c>
      <c r="E554">
        <v>58.52</v>
      </c>
      <c r="F554">
        <v>865393</v>
      </c>
      <c r="G554" t="s">
        <v>1132</v>
      </c>
      <c r="H554" t="s">
        <v>1134</v>
      </c>
    </row>
    <row r="555" spans="1:8" x14ac:dyDescent="0.25">
      <c r="A555" t="s">
        <v>100</v>
      </c>
      <c r="B555" t="s">
        <v>661</v>
      </c>
      <c r="C555" t="s">
        <v>1109</v>
      </c>
      <c r="D555" t="s">
        <v>1122</v>
      </c>
      <c r="E555">
        <v>88.4</v>
      </c>
      <c r="F555">
        <v>288604</v>
      </c>
      <c r="G555" t="s">
        <v>1130</v>
      </c>
      <c r="H555" t="s">
        <v>1133</v>
      </c>
    </row>
    <row r="556" spans="1:8" x14ac:dyDescent="0.25">
      <c r="A556" t="s">
        <v>71</v>
      </c>
      <c r="B556" t="s">
        <v>662</v>
      </c>
      <c r="C556" t="s">
        <v>1110</v>
      </c>
      <c r="D556" t="s">
        <v>1125</v>
      </c>
      <c r="E556">
        <v>83.87</v>
      </c>
      <c r="F556">
        <v>938455</v>
      </c>
      <c r="G556" t="s">
        <v>1128</v>
      </c>
      <c r="H556" t="s">
        <v>1133</v>
      </c>
    </row>
    <row r="557" spans="1:8" x14ac:dyDescent="0.25">
      <c r="A557" t="s">
        <v>44</v>
      </c>
      <c r="B557" t="s">
        <v>663</v>
      </c>
      <c r="C557" t="s">
        <v>1114</v>
      </c>
      <c r="D557" t="s">
        <v>1127</v>
      </c>
      <c r="E557">
        <v>37.799999999999997</v>
      </c>
      <c r="F557">
        <v>595089</v>
      </c>
      <c r="G557" t="s">
        <v>1128</v>
      </c>
      <c r="H557" t="s">
        <v>1133</v>
      </c>
    </row>
    <row r="558" spans="1:8" x14ac:dyDescent="0.25">
      <c r="A558" t="s">
        <v>9</v>
      </c>
      <c r="B558" t="s">
        <v>664</v>
      </c>
      <c r="C558" t="s">
        <v>1115</v>
      </c>
      <c r="D558" t="s">
        <v>1123</v>
      </c>
      <c r="E558">
        <v>47.84</v>
      </c>
      <c r="F558">
        <v>634882</v>
      </c>
      <c r="G558" t="s">
        <v>1131</v>
      </c>
      <c r="H558" t="s">
        <v>1133</v>
      </c>
    </row>
    <row r="559" spans="1:8" x14ac:dyDescent="0.25">
      <c r="A559" t="s">
        <v>92</v>
      </c>
      <c r="B559" t="s">
        <v>665</v>
      </c>
      <c r="C559" t="s">
        <v>1108</v>
      </c>
      <c r="D559" t="s">
        <v>1118</v>
      </c>
      <c r="E559">
        <v>67.05</v>
      </c>
      <c r="F559">
        <v>122778</v>
      </c>
      <c r="G559" t="s">
        <v>1131</v>
      </c>
      <c r="H559" t="s">
        <v>1133</v>
      </c>
    </row>
    <row r="560" spans="1:8" x14ac:dyDescent="0.25">
      <c r="A560" t="s">
        <v>32</v>
      </c>
      <c r="B560" t="s">
        <v>666</v>
      </c>
      <c r="C560" t="s">
        <v>1109</v>
      </c>
      <c r="D560" t="s">
        <v>1123</v>
      </c>
      <c r="E560">
        <v>40.89</v>
      </c>
      <c r="F560">
        <v>217708</v>
      </c>
      <c r="G560" t="s">
        <v>1129</v>
      </c>
      <c r="H560" t="s">
        <v>1133</v>
      </c>
    </row>
    <row r="561" spans="1:8" x14ac:dyDescent="0.25">
      <c r="A561" t="s">
        <v>60</v>
      </c>
      <c r="B561" t="s">
        <v>667</v>
      </c>
      <c r="C561" t="s">
        <v>1109</v>
      </c>
      <c r="D561" t="s">
        <v>1124</v>
      </c>
      <c r="E561">
        <v>43.74</v>
      </c>
      <c r="F561">
        <v>773205</v>
      </c>
      <c r="G561" t="s">
        <v>1130</v>
      </c>
      <c r="H561" t="s">
        <v>1133</v>
      </c>
    </row>
    <row r="562" spans="1:8" x14ac:dyDescent="0.25">
      <c r="A562" t="s">
        <v>91</v>
      </c>
      <c r="B562" t="s">
        <v>668</v>
      </c>
      <c r="C562" t="s">
        <v>1111</v>
      </c>
      <c r="D562" t="s">
        <v>1124</v>
      </c>
      <c r="E562">
        <v>42.64</v>
      </c>
      <c r="F562">
        <v>999190</v>
      </c>
      <c r="G562" t="s">
        <v>1128</v>
      </c>
      <c r="H562" t="s">
        <v>1133</v>
      </c>
    </row>
    <row r="563" spans="1:8" x14ac:dyDescent="0.25">
      <c r="A563" t="s">
        <v>56</v>
      </c>
      <c r="B563" t="s">
        <v>669</v>
      </c>
      <c r="C563" t="s">
        <v>1110</v>
      </c>
      <c r="D563" t="s">
        <v>1127</v>
      </c>
      <c r="E563">
        <v>41.64</v>
      </c>
      <c r="F563">
        <v>826807</v>
      </c>
      <c r="G563" t="s">
        <v>1128</v>
      </c>
      <c r="H563" t="s">
        <v>1133</v>
      </c>
    </row>
    <row r="564" spans="1:8" x14ac:dyDescent="0.25">
      <c r="A564" t="s">
        <v>25</v>
      </c>
      <c r="B564" t="s">
        <v>670</v>
      </c>
      <c r="C564" t="s">
        <v>1116</v>
      </c>
      <c r="D564" t="s">
        <v>1126</v>
      </c>
      <c r="E564">
        <v>62.9</v>
      </c>
      <c r="F564">
        <v>806815</v>
      </c>
      <c r="G564" t="s">
        <v>1129</v>
      </c>
      <c r="H564" t="s">
        <v>1134</v>
      </c>
    </row>
    <row r="565" spans="1:8" x14ac:dyDescent="0.25">
      <c r="A565" t="s">
        <v>28</v>
      </c>
      <c r="B565" t="s">
        <v>671</v>
      </c>
      <c r="C565" t="s">
        <v>1109</v>
      </c>
      <c r="D565" t="s">
        <v>1121</v>
      </c>
      <c r="E565">
        <v>83.26</v>
      </c>
      <c r="F565">
        <v>602963</v>
      </c>
      <c r="G565" t="s">
        <v>1130</v>
      </c>
      <c r="H565" t="s">
        <v>1133</v>
      </c>
    </row>
    <row r="566" spans="1:8" x14ac:dyDescent="0.25">
      <c r="A566" t="s">
        <v>56</v>
      </c>
      <c r="B566" t="s">
        <v>672</v>
      </c>
      <c r="C566" t="s">
        <v>1112</v>
      </c>
      <c r="D566" t="s">
        <v>1127</v>
      </c>
      <c r="E566">
        <v>60.43</v>
      </c>
      <c r="F566">
        <v>718025</v>
      </c>
      <c r="G566" t="s">
        <v>1128</v>
      </c>
      <c r="H566" t="s">
        <v>1133</v>
      </c>
    </row>
    <row r="567" spans="1:8" x14ac:dyDescent="0.25">
      <c r="A567" t="s">
        <v>101</v>
      </c>
      <c r="B567" t="s">
        <v>673</v>
      </c>
      <c r="C567" t="s">
        <v>1114</v>
      </c>
      <c r="D567" t="s">
        <v>1121</v>
      </c>
      <c r="E567">
        <v>41.86</v>
      </c>
      <c r="F567">
        <v>488577</v>
      </c>
      <c r="G567" t="s">
        <v>1132</v>
      </c>
      <c r="H567" t="s">
        <v>1134</v>
      </c>
    </row>
    <row r="568" spans="1:8" x14ac:dyDescent="0.25">
      <c r="A568" t="s">
        <v>54</v>
      </c>
      <c r="B568" t="s">
        <v>674</v>
      </c>
      <c r="C568" t="s">
        <v>1113</v>
      </c>
      <c r="D568" t="s">
        <v>1124</v>
      </c>
      <c r="E568">
        <v>68.319999999999993</v>
      </c>
      <c r="F568">
        <v>532915</v>
      </c>
      <c r="G568" t="s">
        <v>1131</v>
      </c>
      <c r="H568" t="s">
        <v>1133</v>
      </c>
    </row>
    <row r="569" spans="1:8" x14ac:dyDescent="0.25">
      <c r="A569" t="s">
        <v>34</v>
      </c>
      <c r="B569" t="s">
        <v>675</v>
      </c>
      <c r="C569" t="s">
        <v>1113</v>
      </c>
      <c r="D569" t="s">
        <v>1122</v>
      </c>
      <c r="E569">
        <v>87.33</v>
      </c>
      <c r="F569">
        <v>877404</v>
      </c>
      <c r="G569" t="s">
        <v>1130</v>
      </c>
      <c r="H569" t="s">
        <v>1134</v>
      </c>
    </row>
    <row r="570" spans="1:8" x14ac:dyDescent="0.25">
      <c r="A570" t="s">
        <v>49</v>
      </c>
      <c r="B570" t="s">
        <v>676</v>
      </c>
      <c r="C570" t="s">
        <v>1115</v>
      </c>
      <c r="D570" t="s">
        <v>1123</v>
      </c>
      <c r="E570">
        <v>99.18</v>
      </c>
      <c r="F570">
        <v>625394</v>
      </c>
      <c r="G570" t="s">
        <v>1130</v>
      </c>
      <c r="H570" t="s">
        <v>1133</v>
      </c>
    </row>
    <row r="571" spans="1:8" x14ac:dyDescent="0.25">
      <c r="A571" t="s">
        <v>82</v>
      </c>
      <c r="B571" t="s">
        <v>677</v>
      </c>
      <c r="C571" t="s">
        <v>1109</v>
      </c>
      <c r="D571" t="s">
        <v>1122</v>
      </c>
      <c r="E571">
        <v>98.31</v>
      </c>
      <c r="F571">
        <v>242731</v>
      </c>
      <c r="G571" t="s">
        <v>1131</v>
      </c>
      <c r="H571" t="s">
        <v>1133</v>
      </c>
    </row>
    <row r="572" spans="1:8" x14ac:dyDescent="0.25">
      <c r="A572" t="s">
        <v>83</v>
      </c>
      <c r="B572" t="s">
        <v>678</v>
      </c>
      <c r="C572" t="s">
        <v>1113</v>
      </c>
      <c r="D572" t="s">
        <v>1123</v>
      </c>
      <c r="E572">
        <v>59.92</v>
      </c>
      <c r="F572">
        <v>880029</v>
      </c>
      <c r="G572" t="s">
        <v>1128</v>
      </c>
      <c r="H572" t="s">
        <v>1134</v>
      </c>
    </row>
    <row r="573" spans="1:8" x14ac:dyDescent="0.25">
      <c r="A573" t="s">
        <v>57</v>
      </c>
      <c r="B573" t="s">
        <v>679</v>
      </c>
      <c r="C573" t="s">
        <v>1116</v>
      </c>
      <c r="D573" t="s">
        <v>1121</v>
      </c>
      <c r="E573">
        <v>94.07</v>
      </c>
      <c r="F573">
        <v>761586</v>
      </c>
      <c r="G573" t="s">
        <v>1129</v>
      </c>
      <c r="H573" t="s">
        <v>1133</v>
      </c>
    </row>
    <row r="574" spans="1:8" x14ac:dyDescent="0.25">
      <c r="A574" t="s">
        <v>20</v>
      </c>
      <c r="B574" t="s">
        <v>680</v>
      </c>
      <c r="C574" t="s">
        <v>1117</v>
      </c>
      <c r="D574" t="s">
        <v>1123</v>
      </c>
      <c r="E574">
        <v>48.72</v>
      </c>
      <c r="F574">
        <v>179396</v>
      </c>
      <c r="G574" t="s">
        <v>1132</v>
      </c>
      <c r="H574" t="s">
        <v>1133</v>
      </c>
    </row>
    <row r="575" spans="1:8" x14ac:dyDescent="0.25">
      <c r="A575" t="s">
        <v>49</v>
      </c>
      <c r="B575" t="s">
        <v>681</v>
      </c>
      <c r="C575" t="s">
        <v>1114</v>
      </c>
      <c r="D575" t="s">
        <v>1127</v>
      </c>
      <c r="E575">
        <v>60.36</v>
      </c>
      <c r="F575">
        <v>885508</v>
      </c>
      <c r="G575" t="s">
        <v>1131</v>
      </c>
      <c r="H575" t="s">
        <v>1133</v>
      </c>
    </row>
    <row r="576" spans="1:8" x14ac:dyDescent="0.25">
      <c r="A576" t="s">
        <v>29</v>
      </c>
      <c r="B576" t="s">
        <v>682</v>
      </c>
      <c r="C576" t="s">
        <v>1114</v>
      </c>
      <c r="D576" t="s">
        <v>1126</v>
      </c>
      <c r="E576">
        <v>66.17</v>
      </c>
      <c r="F576">
        <v>595064</v>
      </c>
      <c r="G576" t="s">
        <v>1131</v>
      </c>
      <c r="H576" t="s">
        <v>1133</v>
      </c>
    </row>
    <row r="577" spans="1:8" x14ac:dyDescent="0.25">
      <c r="A577" t="s">
        <v>105</v>
      </c>
      <c r="B577" t="s">
        <v>683</v>
      </c>
      <c r="C577" t="s">
        <v>1109</v>
      </c>
      <c r="D577" t="s">
        <v>1127</v>
      </c>
      <c r="E577">
        <v>99.82</v>
      </c>
      <c r="F577">
        <v>744873</v>
      </c>
      <c r="G577" t="s">
        <v>1128</v>
      </c>
      <c r="H577" t="s">
        <v>1134</v>
      </c>
    </row>
    <row r="578" spans="1:8" x14ac:dyDescent="0.25">
      <c r="A578" t="s">
        <v>49</v>
      </c>
      <c r="B578" t="s">
        <v>684</v>
      </c>
      <c r="C578" t="s">
        <v>1111</v>
      </c>
      <c r="D578" t="s">
        <v>1118</v>
      </c>
      <c r="E578">
        <v>87.49</v>
      </c>
      <c r="F578">
        <v>497698</v>
      </c>
      <c r="G578" t="s">
        <v>1130</v>
      </c>
      <c r="H578" t="s">
        <v>1134</v>
      </c>
    </row>
    <row r="579" spans="1:8" x14ac:dyDescent="0.25">
      <c r="A579" t="s">
        <v>75</v>
      </c>
      <c r="B579" t="s">
        <v>685</v>
      </c>
      <c r="C579" t="s">
        <v>1108</v>
      </c>
      <c r="D579" t="s">
        <v>1124</v>
      </c>
      <c r="E579">
        <v>47.59</v>
      </c>
      <c r="F579">
        <v>830727</v>
      </c>
      <c r="G579" t="s">
        <v>1128</v>
      </c>
      <c r="H579" t="s">
        <v>1133</v>
      </c>
    </row>
    <row r="580" spans="1:8" x14ac:dyDescent="0.25">
      <c r="A580" t="s">
        <v>92</v>
      </c>
      <c r="B580" t="s">
        <v>686</v>
      </c>
      <c r="C580" t="s">
        <v>1117</v>
      </c>
      <c r="D580" t="s">
        <v>1121</v>
      </c>
      <c r="E580">
        <v>38</v>
      </c>
      <c r="F580">
        <v>483763</v>
      </c>
      <c r="G580" t="s">
        <v>1132</v>
      </c>
      <c r="H580" t="s">
        <v>1133</v>
      </c>
    </row>
    <row r="581" spans="1:8" x14ac:dyDescent="0.25">
      <c r="A581" t="s">
        <v>65</v>
      </c>
      <c r="B581" t="s">
        <v>687</v>
      </c>
      <c r="C581" t="s">
        <v>1115</v>
      </c>
      <c r="D581" t="s">
        <v>1125</v>
      </c>
      <c r="E581">
        <v>82.43</v>
      </c>
      <c r="F581">
        <v>601386</v>
      </c>
      <c r="G581" t="s">
        <v>1129</v>
      </c>
      <c r="H581" t="s">
        <v>1134</v>
      </c>
    </row>
    <row r="582" spans="1:8" x14ac:dyDescent="0.25">
      <c r="A582" t="s">
        <v>105</v>
      </c>
      <c r="B582" t="s">
        <v>688</v>
      </c>
      <c r="C582" t="s">
        <v>1114</v>
      </c>
      <c r="D582" t="s">
        <v>1124</v>
      </c>
      <c r="E582">
        <v>91.48</v>
      </c>
      <c r="F582">
        <v>173142</v>
      </c>
      <c r="G582" t="s">
        <v>1132</v>
      </c>
      <c r="H582" t="s">
        <v>1133</v>
      </c>
    </row>
    <row r="583" spans="1:8" x14ac:dyDescent="0.25">
      <c r="A583" t="s">
        <v>84</v>
      </c>
      <c r="B583" t="s">
        <v>689</v>
      </c>
      <c r="C583" t="s">
        <v>1111</v>
      </c>
      <c r="D583" t="s">
        <v>1122</v>
      </c>
      <c r="E583">
        <v>64.97</v>
      </c>
      <c r="F583">
        <v>379408</v>
      </c>
      <c r="G583" t="s">
        <v>1132</v>
      </c>
      <c r="H583" t="s">
        <v>1133</v>
      </c>
    </row>
    <row r="584" spans="1:8" x14ac:dyDescent="0.25">
      <c r="A584" t="s">
        <v>37</v>
      </c>
      <c r="B584" t="s">
        <v>690</v>
      </c>
      <c r="C584" t="s">
        <v>1115</v>
      </c>
      <c r="D584" t="s">
        <v>1125</v>
      </c>
      <c r="E584">
        <v>71.930000000000007</v>
      </c>
      <c r="F584">
        <v>674696</v>
      </c>
      <c r="G584" t="s">
        <v>1131</v>
      </c>
      <c r="H584" t="s">
        <v>1133</v>
      </c>
    </row>
    <row r="585" spans="1:8" x14ac:dyDescent="0.25">
      <c r="A585" t="s">
        <v>98</v>
      </c>
      <c r="B585" t="s">
        <v>691</v>
      </c>
      <c r="C585" t="s">
        <v>1113</v>
      </c>
      <c r="D585" t="s">
        <v>1120</v>
      </c>
      <c r="E585">
        <v>67.84</v>
      </c>
      <c r="F585">
        <v>743985</v>
      </c>
      <c r="G585" t="s">
        <v>1129</v>
      </c>
      <c r="H585" t="s">
        <v>1133</v>
      </c>
    </row>
    <row r="586" spans="1:8" x14ac:dyDescent="0.25">
      <c r="A586" t="s">
        <v>70</v>
      </c>
      <c r="B586" t="s">
        <v>692</v>
      </c>
      <c r="C586" t="s">
        <v>1117</v>
      </c>
      <c r="D586" t="s">
        <v>1127</v>
      </c>
      <c r="E586">
        <v>76.56</v>
      </c>
      <c r="F586">
        <v>171888</v>
      </c>
      <c r="G586" t="s">
        <v>1130</v>
      </c>
      <c r="H586" t="s">
        <v>1133</v>
      </c>
    </row>
    <row r="587" spans="1:8" x14ac:dyDescent="0.25">
      <c r="A587" t="s">
        <v>97</v>
      </c>
      <c r="B587" t="s">
        <v>693</v>
      </c>
      <c r="C587" t="s">
        <v>1108</v>
      </c>
      <c r="D587" t="s">
        <v>1120</v>
      </c>
      <c r="E587">
        <v>35.83</v>
      </c>
      <c r="F587">
        <v>653567</v>
      </c>
      <c r="G587" t="s">
        <v>1130</v>
      </c>
      <c r="H587" t="s">
        <v>1133</v>
      </c>
    </row>
    <row r="588" spans="1:8" x14ac:dyDescent="0.25">
      <c r="A588" t="s">
        <v>78</v>
      </c>
      <c r="B588" t="s">
        <v>694</v>
      </c>
      <c r="C588" t="s">
        <v>1116</v>
      </c>
      <c r="D588" t="s">
        <v>1118</v>
      </c>
      <c r="E588">
        <v>93.3</v>
      </c>
      <c r="F588">
        <v>238490</v>
      </c>
      <c r="G588" t="s">
        <v>1132</v>
      </c>
      <c r="H588" t="s">
        <v>1133</v>
      </c>
    </row>
    <row r="589" spans="1:8" x14ac:dyDescent="0.25">
      <c r="A589" t="s">
        <v>70</v>
      </c>
      <c r="B589" t="s">
        <v>695</v>
      </c>
      <c r="C589" t="s">
        <v>1116</v>
      </c>
      <c r="D589" t="s">
        <v>1127</v>
      </c>
      <c r="E589">
        <v>79.19</v>
      </c>
      <c r="F589">
        <v>553744</v>
      </c>
      <c r="G589" t="s">
        <v>1132</v>
      </c>
      <c r="H589" t="s">
        <v>1134</v>
      </c>
    </row>
    <row r="590" spans="1:8" x14ac:dyDescent="0.25">
      <c r="A590" t="s">
        <v>100</v>
      </c>
      <c r="B590" t="s">
        <v>696</v>
      </c>
      <c r="C590" t="s">
        <v>1115</v>
      </c>
      <c r="D590" t="s">
        <v>1127</v>
      </c>
      <c r="E590">
        <v>97.87</v>
      </c>
      <c r="F590">
        <v>946513</v>
      </c>
      <c r="G590" t="s">
        <v>1129</v>
      </c>
      <c r="H590" t="s">
        <v>1133</v>
      </c>
    </row>
    <row r="591" spans="1:8" x14ac:dyDescent="0.25">
      <c r="A591" t="s">
        <v>33</v>
      </c>
      <c r="B591" t="s">
        <v>697</v>
      </c>
      <c r="C591" t="s">
        <v>1117</v>
      </c>
      <c r="D591" t="s">
        <v>1126</v>
      </c>
      <c r="E591">
        <v>78.84</v>
      </c>
      <c r="F591">
        <v>401485</v>
      </c>
      <c r="G591" t="s">
        <v>1131</v>
      </c>
      <c r="H591" t="s">
        <v>1133</v>
      </c>
    </row>
    <row r="592" spans="1:8" x14ac:dyDescent="0.25">
      <c r="A592" t="s">
        <v>32</v>
      </c>
      <c r="B592" t="s">
        <v>698</v>
      </c>
      <c r="C592" t="s">
        <v>1117</v>
      </c>
      <c r="D592" t="s">
        <v>1122</v>
      </c>
      <c r="E592">
        <v>46.42</v>
      </c>
      <c r="F592">
        <v>554138</v>
      </c>
      <c r="G592" t="s">
        <v>1128</v>
      </c>
      <c r="H592" t="s">
        <v>1133</v>
      </c>
    </row>
    <row r="593" spans="1:8" x14ac:dyDescent="0.25">
      <c r="A593" t="s">
        <v>92</v>
      </c>
      <c r="B593" t="s">
        <v>699</v>
      </c>
      <c r="C593" t="s">
        <v>1113</v>
      </c>
      <c r="D593" t="s">
        <v>1121</v>
      </c>
      <c r="E593">
        <v>83.36</v>
      </c>
      <c r="F593">
        <v>730086</v>
      </c>
      <c r="G593" t="s">
        <v>1129</v>
      </c>
      <c r="H593" t="s">
        <v>1134</v>
      </c>
    </row>
    <row r="594" spans="1:8" x14ac:dyDescent="0.25">
      <c r="A594" t="s">
        <v>10</v>
      </c>
      <c r="B594" t="s">
        <v>700</v>
      </c>
      <c r="C594" t="s">
        <v>1116</v>
      </c>
      <c r="D594" t="s">
        <v>1123</v>
      </c>
      <c r="E594">
        <v>55.38</v>
      </c>
      <c r="F594">
        <v>457790</v>
      </c>
      <c r="G594" t="s">
        <v>1130</v>
      </c>
      <c r="H594" t="s">
        <v>1133</v>
      </c>
    </row>
    <row r="595" spans="1:8" x14ac:dyDescent="0.25">
      <c r="A595" t="s">
        <v>36</v>
      </c>
      <c r="B595" t="s">
        <v>701</v>
      </c>
      <c r="C595" t="s">
        <v>1111</v>
      </c>
      <c r="D595" t="s">
        <v>1125</v>
      </c>
      <c r="E595">
        <v>51.27</v>
      </c>
      <c r="F595">
        <v>704677</v>
      </c>
      <c r="G595" t="s">
        <v>1132</v>
      </c>
      <c r="H595" t="s">
        <v>1133</v>
      </c>
    </row>
    <row r="596" spans="1:8" x14ac:dyDescent="0.25">
      <c r="A596" t="s">
        <v>79</v>
      </c>
      <c r="B596" t="s">
        <v>702</v>
      </c>
      <c r="C596" t="s">
        <v>1116</v>
      </c>
      <c r="D596" t="s">
        <v>1119</v>
      </c>
      <c r="E596">
        <v>54.29</v>
      </c>
      <c r="F596">
        <v>213574</v>
      </c>
      <c r="G596" t="s">
        <v>1131</v>
      </c>
      <c r="H596" t="s">
        <v>1133</v>
      </c>
    </row>
    <row r="597" spans="1:8" x14ac:dyDescent="0.25">
      <c r="A597" t="s">
        <v>63</v>
      </c>
      <c r="B597" t="s">
        <v>703</v>
      </c>
      <c r="C597" t="s">
        <v>1113</v>
      </c>
      <c r="D597" t="s">
        <v>1118</v>
      </c>
      <c r="E597">
        <v>70.430000000000007</v>
      </c>
      <c r="F597">
        <v>859519</v>
      </c>
      <c r="G597" t="s">
        <v>1131</v>
      </c>
      <c r="H597" t="s">
        <v>1133</v>
      </c>
    </row>
    <row r="598" spans="1:8" x14ac:dyDescent="0.25">
      <c r="A598" t="s">
        <v>84</v>
      </c>
      <c r="B598" t="s">
        <v>704</v>
      </c>
      <c r="C598" t="s">
        <v>1117</v>
      </c>
      <c r="D598" t="s">
        <v>1126</v>
      </c>
      <c r="E598">
        <v>75.39</v>
      </c>
      <c r="F598">
        <v>341656</v>
      </c>
      <c r="G598" t="s">
        <v>1132</v>
      </c>
      <c r="H598" t="s">
        <v>1134</v>
      </c>
    </row>
    <row r="599" spans="1:8" x14ac:dyDescent="0.25">
      <c r="A599" t="s">
        <v>75</v>
      </c>
      <c r="B599" t="s">
        <v>705</v>
      </c>
      <c r="C599" t="s">
        <v>1113</v>
      </c>
      <c r="D599" t="s">
        <v>1121</v>
      </c>
      <c r="E599">
        <v>56.22</v>
      </c>
      <c r="F599">
        <v>293858</v>
      </c>
      <c r="G599" t="s">
        <v>1129</v>
      </c>
      <c r="H599" t="s">
        <v>1133</v>
      </c>
    </row>
    <row r="600" spans="1:8" x14ac:dyDescent="0.25">
      <c r="A600" t="s">
        <v>42</v>
      </c>
      <c r="B600" t="s">
        <v>706</v>
      </c>
      <c r="C600" t="s">
        <v>1110</v>
      </c>
      <c r="D600" t="s">
        <v>1123</v>
      </c>
      <c r="E600">
        <v>72.94</v>
      </c>
      <c r="F600">
        <v>377716</v>
      </c>
      <c r="G600" t="s">
        <v>1129</v>
      </c>
      <c r="H600" t="s">
        <v>1133</v>
      </c>
    </row>
    <row r="601" spans="1:8" x14ac:dyDescent="0.25">
      <c r="A601" t="s">
        <v>76</v>
      </c>
      <c r="B601" t="s">
        <v>707</v>
      </c>
      <c r="C601" t="s">
        <v>1113</v>
      </c>
      <c r="D601" t="s">
        <v>1123</v>
      </c>
      <c r="E601">
        <v>44.91</v>
      </c>
      <c r="F601">
        <v>421963</v>
      </c>
      <c r="G601" t="s">
        <v>1132</v>
      </c>
      <c r="H601" t="s">
        <v>1133</v>
      </c>
    </row>
    <row r="602" spans="1:8" x14ac:dyDescent="0.25">
      <c r="A602" t="s">
        <v>84</v>
      </c>
      <c r="B602" t="s">
        <v>708</v>
      </c>
      <c r="C602" t="s">
        <v>1117</v>
      </c>
      <c r="D602" t="s">
        <v>1118</v>
      </c>
      <c r="E602">
        <v>74.94</v>
      </c>
      <c r="F602">
        <v>824797</v>
      </c>
      <c r="G602" t="s">
        <v>1131</v>
      </c>
      <c r="H602" t="s">
        <v>1133</v>
      </c>
    </row>
    <row r="603" spans="1:8" x14ac:dyDescent="0.25">
      <c r="A603" t="s">
        <v>67</v>
      </c>
      <c r="B603" t="s">
        <v>709</v>
      </c>
      <c r="C603" t="s">
        <v>1109</v>
      </c>
      <c r="D603" t="s">
        <v>1127</v>
      </c>
      <c r="E603">
        <v>49.67</v>
      </c>
      <c r="F603">
        <v>929961</v>
      </c>
      <c r="G603" t="s">
        <v>1132</v>
      </c>
      <c r="H603" t="s">
        <v>1134</v>
      </c>
    </row>
    <row r="604" spans="1:8" x14ac:dyDescent="0.25">
      <c r="A604" t="s">
        <v>81</v>
      </c>
      <c r="B604" t="s">
        <v>710</v>
      </c>
      <c r="C604" t="s">
        <v>1110</v>
      </c>
      <c r="D604" t="s">
        <v>1127</v>
      </c>
      <c r="E604">
        <v>38.33</v>
      </c>
      <c r="F604">
        <v>128019</v>
      </c>
      <c r="G604" t="s">
        <v>1131</v>
      </c>
      <c r="H604" t="s">
        <v>1134</v>
      </c>
    </row>
    <row r="605" spans="1:8" x14ac:dyDescent="0.25">
      <c r="A605" t="s">
        <v>46</v>
      </c>
      <c r="B605" t="s">
        <v>711</v>
      </c>
      <c r="C605" t="s">
        <v>1113</v>
      </c>
      <c r="D605" t="s">
        <v>1122</v>
      </c>
      <c r="E605">
        <v>74.069999999999993</v>
      </c>
      <c r="F605">
        <v>116363</v>
      </c>
      <c r="G605" t="s">
        <v>1132</v>
      </c>
      <c r="H605" t="s">
        <v>1133</v>
      </c>
    </row>
    <row r="606" spans="1:8" x14ac:dyDescent="0.25">
      <c r="A606" t="s">
        <v>76</v>
      </c>
      <c r="B606" t="s">
        <v>712</v>
      </c>
      <c r="C606" t="s">
        <v>1108</v>
      </c>
      <c r="D606" t="s">
        <v>1125</v>
      </c>
      <c r="E606">
        <v>83.31</v>
      </c>
      <c r="F606">
        <v>180473</v>
      </c>
      <c r="G606" t="s">
        <v>1128</v>
      </c>
      <c r="H606" t="s">
        <v>1134</v>
      </c>
    </row>
    <row r="607" spans="1:8" x14ac:dyDescent="0.25">
      <c r="A607" t="s">
        <v>42</v>
      </c>
      <c r="B607" t="s">
        <v>713</v>
      </c>
      <c r="C607" t="s">
        <v>1110</v>
      </c>
      <c r="D607" t="s">
        <v>1120</v>
      </c>
      <c r="E607">
        <v>80.97</v>
      </c>
      <c r="F607">
        <v>920395</v>
      </c>
      <c r="G607" t="s">
        <v>1129</v>
      </c>
      <c r="H607" t="s">
        <v>1134</v>
      </c>
    </row>
    <row r="608" spans="1:8" x14ac:dyDescent="0.25">
      <c r="A608" t="s">
        <v>63</v>
      </c>
      <c r="B608" t="s">
        <v>714</v>
      </c>
      <c r="C608" t="s">
        <v>1116</v>
      </c>
      <c r="D608" t="s">
        <v>1122</v>
      </c>
      <c r="E608">
        <v>51.99</v>
      </c>
      <c r="F608">
        <v>339748</v>
      </c>
      <c r="G608" t="s">
        <v>1132</v>
      </c>
      <c r="H608" t="s">
        <v>1133</v>
      </c>
    </row>
    <row r="609" spans="1:8" x14ac:dyDescent="0.25">
      <c r="A609" t="s">
        <v>65</v>
      </c>
      <c r="B609" t="s">
        <v>715</v>
      </c>
      <c r="C609" t="s">
        <v>1110</v>
      </c>
      <c r="D609" t="s">
        <v>1121</v>
      </c>
      <c r="E609">
        <v>37.72</v>
      </c>
      <c r="F609">
        <v>730385</v>
      </c>
      <c r="G609" t="s">
        <v>1129</v>
      </c>
      <c r="H609" t="s">
        <v>1133</v>
      </c>
    </row>
    <row r="610" spans="1:8" x14ac:dyDescent="0.25">
      <c r="A610" t="s">
        <v>39</v>
      </c>
      <c r="B610" t="s">
        <v>716</v>
      </c>
      <c r="C610" t="s">
        <v>1113</v>
      </c>
      <c r="D610" t="s">
        <v>1122</v>
      </c>
      <c r="E610">
        <v>88.81</v>
      </c>
      <c r="F610">
        <v>648261</v>
      </c>
      <c r="G610" t="s">
        <v>1129</v>
      </c>
      <c r="H610" t="s">
        <v>1133</v>
      </c>
    </row>
    <row r="611" spans="1:8" x14ac:dyDescent="0.25">
      <c r="A611" t="s">
        <v>51</v>
      </c>
      <c r="B611" t="s">
        <v>717</v>
      </c>
      <c r="C611" t="s">
        <v>1116</v>
      </c>
      <c r="D611" t="s">
        <v>1122</v>
      </c>
      <c r="E611">
        <v>68.91</v>
      </c>
      <c r="F611">
        <v>293985</v>
      </c>
      <c r="G611" t="s">
        <v>1128</v>
      </c>
      <c r="H611" t="s">
        <v>1133</v>
      </c>
    </row>
    <row r="612" spans="1:8" x14ac:dyDescent="0.25">
      <c r="A612" t="s">
        <v>45</v>
      </c>
      <c r="B612" t="s">
        <v>718</v>
      </c>
      <c r="C612" t="s">
        <v>1111</v>
      </c>
      <c r="D612" t="s">
        <v>1119</v>
      </c>
      <c r="E612">
        <v>54.52</v>
      </c>
      <c r="F612">
        <v>561781</v>
      </c>
      <c r="G612" t="s">
        <v>1129</v>
      </c>
      <c r="H612" t="s">
        <v>1134</v>
      </c>
    </row>
    <row r="613" spans="1:8" x14ac:dyDescent="0.25">
      <c r="A613" t="s">
        <v>25</v>
      </c>
      <c r="B613" t="s">
        <v>719</v>
      </c>
      <c r="C613" t="s">
        <v>1111</v>
      </c>
      <c r="D613" t="s">
        <v>1119</v>
      </c>
      <c r="E613">
        <v>66.349999999999994</v>
      </c>
      <c r="F613">
        <v>353135</v>
      </c>
      <c r="G613" t="s">
        <v>1132</v>
      </c>
      <c r="H613" t="s">
        <v>1133</v>
      </c>
    </row>
    <row r="614" spans="1:8" x14ac:dyDescent="0.25">
      <c r="A614" t="s">
        <v>42</v>
      </c>
      <c r="B614" t="s">
        <v>720</v>
      </c>
      <c r="C614" t="s">
        <v>1110</v>
      </c>
      <c r="D614" t="s">
        <v>1118</v>
      </c>
      <c r="E614">
        <v>93.32</v>
      </c>
      <c r="F614">
        <v>660724</v>
      </c>
      <c r="G614" t="s">
        <v>1131</v>
      </c>
      <c r="H614" t="s">
        <v>1133</v>
      </c>
    </row>
    <row r="615" spans="1:8" x14ac:dyDescent="0.25">
      <c r="A615" t="s">
        <v>45</v>
      </c>
      <c r="B615" t="s">
        <v>721</v>
      </c>
      <c r="C615" t="s">
        <v>1113</v>
      </c>
      <c r="D615" t="s">
        <v>1126</v>
      </c>
      <c r="E615">
        <v>39.869999999999997</v>
      </c>
      <c r="F615">
        <v>424513</v>
      </c>
      <c r="G615" t="s">
        <v>1129</v>
      </c>
      <c r="H615" t="s">
        <v>1133</v>
      </c>
    </row>
    <row r="616" spans="1:8" x14ac:dyDescent="0.25">
      <c r="A616" t="s">
        <v>68</v>
      </c>
      <c r="B616" t="s">
        <v>722</v>
      </c>
      <c r="C616" t="s">
        <v>1109</v>
      </c>
      <c r="D616" t="s">
        <v>1118</v>
      </c>
      <c r="E616">
        <v>51.72</v>
      </c>
      <c r="F616">
        <v>814343</v>
      </c>
      <c r="G616" t="s">
        <v>1131</v>
      </c>
      <c r="H616" t="s">
        <v>1134</v>
      </c>
    </row>
    <row r="617" spans="1:8" x14ac:dyDescent="0.25">
      <c r="A617" t="s">
        <v>38</v>
      </c>
      <c r="B617" t="s">
        <v>723</v>
      </c>
      <c r="C617" t="s">
        <v>1116</v>
      </c>
      <c r="D617" t="s">
        <v>1123</v>
      </c>
      <c r="E617">
        <v>43.46</v>
      </c>
      <c r="F617">
        <v>683637</v>
      </c>
      <c r="G617" t="s">
        <v>1132</v>
      </c>
      <c r="H617" t="s">
        <v>1133</v>
      </c>
    </row>
    <row r="618" spans="1:8" x14ac:dyDescent="0.25">
      <c r="A618" t="s">
        <v>16</v>
      </c>
      <c r="B618" t="s">
        <v>724</v>
      </c>
      <c r="C618" t="s">
        <v>1111</v>
      </c>
      <c r="D618" t="s">
        <v>1126</v>
      </c>
      <c r="E618">
        <v>35.93</v>
      </c>
      <c r="F618">
        <v>641981</v>
      </c>
      <c r="G618" t="s">
        <v>1132</v>
      </c>
      <c r="H618" t="s">
        <v>1134</v>
      </c>
    </row>
    <row r="619" spans="1:8" x14ac:dyDescent="0.25">
      <c r="A619" t="s">
        <v>58</v>
      </c>
      <c r="B619" t="s">
        <v>725</v>
      </c>
      <c r="C619" t="s">
        <v>1116</v>
      </c>
      <c r="D619" t="s">
        <v>1127</v>
      </c>
      <c r="E619">
        <v>75.87</v>
      </c>
      <c r="F619">
        <v>687135</v>
      </c>
      <c r="G619" t="s">
        <v>1128</v>
      </c>
      <c r="H619" t="s">
        <v>1133</v>
      </c>
    </row>
    <row r="620" spans="1:8" x14ac:dyDescent="0.25">
      <c r="A620" t="s">
        <v>11</v>
      </c>
      <c r="B620" t="s">
        <v>726</v>
      </c>
      <c r="C620" t="s">
        <v>1112</v>
      </c>
      <c r="D620" t="s">
        <v>1119</v>
      </c>
      <c r="E620">
        <v>89.04</v>
      </c>
      <c r="F620">
        <v>722686</v>
      </c>
      <c r="G620" t="s">
        <v>1129</v>
      </c>
      <c r="H620" t="s">
        <v>1134</v>
      </c>
    </row>
    <row r="621" spans="1:8" x14ac:dyDescent="0.25">
      <c r="A621" t="s">
        <v>96</v>
      </c>
      <c r="B621" t="s">
        <v>727</v>
      </c>
      <c r="C621" t="s">
        <v>1112</v>
      </c>
      <c r="D621" t="s">
        <v>1121</v>
      </c>
      <c r="E621">
        <v>87.76</v>
      </c>
      <c r="F621">
        <v>532732</v>
      </c>
      <c r="G621" t="s">
        <v>1128</v>
      </c>
      <c r="H621" t="s">
        <v>1133</v>
      </c>
    </row>
    <row r="622" spans="1:8" x14ac:dyDescent="0.25">
      <c r="A622" t="s">
        <v>85</v>
      </c>
      <c r="B622" t="s">
        <v>728</v>
      </c>
      <c r="C622" t="s">
        <v>1112</v>
      </c>
      <c r="D622" t="s">
        <v>1124</v>
      </c>
      <c r="E622">
        <v>54.45</v>
      </c>
      <c r="F622">
        <v>252439</v>
      </c>
      <c r="G622" t="s">
        <v>1128</v>
      </c>
      <c r="H622" t="s">
        <v>1133</v>
      </c>
    </row>
    <row r="623" spans="1:8" x14ac:dyDescent="0.25">
      <c r="A623" t="s">
        <v>75</v>
      </c>
      <c r="B623" t="s">
        <v>729</v>
      </c>
      <c r="C623" t="s">
        <v>1112</v>
      </c>
      <c r="D623" t="s">
        <v>1123</v>
      </c>
      <c r="E623">
        <v>41.11</v>
      </c>
      <c r="F623">
        <v>924670</v>
      </c>
      <c r="G623" t="s">
        <v>1129</v>
      </c>
      <c r="H623" t="s">
        <v>1133</v>
      </c>
    </row>
    <row r="624" spans="1:8" x14ac:dyDescent="0.25">
      <c r="A624" t="s">
        <v>92</v>
      </c>
      <c r="B624" t="s">
        <v>730</v>
      </c>
      <c r="C624" t="s">
        <v>1116</v>
      </c>
      <c r="D624" t="s">
        <v>1124</v>
      </c>
      <c r="E624">
        <v>48.45</v>
      </c>
      <c r="F624">
        <v>601735</v>
      </c>
      <c r="G624" t="s">
        <v>1132</v>
      </c>
      <c r="H624" t="s">
        <v>1133</v>
      </c>
    </row>
    <row r="625" spans="1:8" x14ac:dyDescent="0.25">
      <c r="A625" t="s">
        <v>87</v>
      </c>
      <c r="B625" t="s">
        <v>731</v>
      </c>
      <c r="C625" t="s">
        <v>1115</v>
      </c>
      <c r="D625" t="s">
        <v>1119</v>
      </c>
      <c r="E625">
        <v>52.65</v>
      </c>
      <c r="F625">
        <v>308943</v>
      </c>
      <c r="G625" t="s">
        <v>1129</v>
      </c>
      <c r="H625" t="s">
        <v>1134</v>
      </c>
    </row>
    <row r="626" spans="1:8" x14ac:dyDescent="0.25">
      <c r="A626" t="s">
        <v>26</v>
      </c>
      <c r="B626" t="s">
        <v>732</v>
      </c>
      <c r="C626" t="s">
        <v>1117</v>
      </c>
      <c r="D626" t="s">
        <v>1118</v>
      </c>
      <c r="E626">
        <v>37.18</v>
      </c>
      <c r="F626">
        <v>842887</v>
      </c>
      <c r="G626" t="s">
        <v>1132</v>
      </c>
      <c r="H626" t="s">
        <v>1133</v>
      </c>
    </row>
    <row r="627" spans="1:8" x14ac:dyDescent="0.25">
      <c r="A627" t="s">
        <v>63</v>
      </c>
      <c r="B627" t="s">
        <v>733</v>
      </c>
      <c r="C627" t="s">
        <v>1117</v>
      </c>
      <c r="D627" t="s">
        <v>1122</v>
      </c>
      <c r="E627">
        <v>98.02</v>
      </c>
      <c r="F627">
        <v>217587</v>
      </c>
      <c r="G627" t="s">
        <v>1130</v>
      </c>
      <c r="H627" t="s">
        <v>1134</v>
      </c>
    </row>
    <row r="628" spans="1:8" x14ac:dyDescent="0.25">
      <c r="A628" t="s">
        <v>72</v>
      </c>
      <c r="B628" t="s">
        <v>734</v>
      </c>
      <c r="C628" t="s">
        <v>1111</v>
      </c>
      <c r="D628" t="s">
        <v>1127</v>
      </c>
      <c r="E628">
        <v>41.54</v>
      </c>
      <c r="F628">
        <v>591869</v>
      </c>
      <c r="G628" t="s">
        <v>1129</v>
      </c>
      <c r="H628" t="s">
        <v>1133</v>
      </c>
    </row>
    <row r="629" spans="1:8" x14ac:dyDescent="0.25">
      <c r="A629" t="s">
        <v>12</v>
      </c>
      <c r="B629" t="s">
        <v>735</v>
      </c>
      <c r="C629" t="s">
        <v>1116</v>
      </c>
      <c r="D629" t="s">
        <v>1120</v>
      </c>
      <c r="E629">
        <v>85.93</v>
      </c>
      <c r="F629">
        <v>694538</v>
      </c>
      <c r="G629" t="s">
        <v>1128</v>
      </c>
      <c r="H629" t="s">
        <v>1133</v>
      </c>
    </row>
    <row r="630" spans="1:8" x14ac:dyDescent="0.25">
      <c r="A630" t="s">
        <v>76</v>
      </c>
      <c r="B630" t="s">
        <v>736</v>
      </c>
      <c r="C630" t="s">
        <v>1112</v>
      </c>
      <c r="D630" t="s">
        <v>1124</v>
      </c>
      <c r="E630">
        <v>78.66</v>
      </c>
      <c r="F630">
        <v>735795</v>
      </c>
      <c r="G630" t="s">
        <v>1131</v>
      </c>
      <c r="H630" t="s">
        <v>1133</v>
      </c>
    </row>
    <row r="631" spans="1:8" x14ac:dyDescent="0.25">
      <c r="A631" t="s">
        <v>46</v>
      </c>
      <c r="B631" t="s">
        <v>737</v>
      </c>
      <c r="C631" t="s">
        <v>1110</v>
      </c>
      <c r="D631" t="s">
        <v>1127</v>
      </c>
      <c r="E631">
        <v>38.520000000000003</v>
      </c>
      <c r="F631">
        <v>239225</v>
      </c>
      <c r="G631" t="s">
        <v>1132</v>
      </c>
      <c r="H631" t="s">
        <v>1133</v>
      </c>
    </row>
    <row r="632" spans="1:8" x14ac:dyDescent="0.25">
      <c r="A632" t="s">
        <v>35</v>
      </c>
      <c r="B632" t="s">
        <v>738</v>
      </c>
      <c r="C632" t="s">
        <v>1110</v>
      </c>
      <c r="D632" t="s">
        <v>1122</v>
      </c>
      <c r="E632">
        <v>94.27</v>
      </c>
      <c r="F632">
        <v>246020</v>
      </c>
      <c r="G632" t="s">
        <v>1128</v>
      </c>
      <c r="H632" t="s">
        <v>1133</v>
      </c>
    </row>
    <row r="633" spans="1:8" x14ac:dyDescent="0.25">
      <c r="A633" t="s">
        <v>48</v>
      </c>
      <c r="B633" t="s">
        <v>739</v>
      </c>
      <c r="C633" t="s">
        <v>1110</v>
      </c>
      <c r="D633" t="s">
        <v>1126</v>
      </c>
      <c r="E633">
        <v>76.11</v>
      </c>
      <c r="F633">
        <v>123625</v>
      </c>
      <c r="G633" t="s">
        <v>1129</v>
      </c>
      <c r="H633" t="s">
        <v>1133</v>
      </c>
    </row>
    <row r="634" spans="1:8" x14ac:dyDescent="0.25">
      <c r="A634" t="s">
        <v>35</v>
      </c>
      <c r="B634" t="s">
        <v>740</v>
      </c>
      <c r="C634" t="s">
        <v>1115</v>
      </c>
      <c r="D634" t="s">
        <v>1126</v>
      </c>
      <c r="E634">
        <v>45.59</v>
      </c>
      <c r="F634">
        <v>528458</v>
      </c>
      <c r="G634" t="s">
        <v>1128</v>
      </c>
      <c r="H634" t="s">
        <v>1133</v>
      </c>
    </row>
    <row r="635" spans="1:8" x14ac:dyDescent="0.25">
      <c r="A635" t="s">
        <v>70</v>
      </c>
      <c r="B635" t="s">
        <v>741</v>
      </c>
      <c r="C635" t="s">
        <v>1111</v>
      </c>
      <c r="D635" t="s">
        <v>1125</v>
      </c>
      <c r="E635">
        <v>41.9</v>
      </c>
      <c r="F635">
        <v>894975</v>
      </c>
      <c r="G635" t="s">
        <v>1129</v>
      </c>
      <c r="H635" t="s">
        <v>1133</v>
      </c>
    </row>
    <row r="636" spans="1:8" x14ac:dyDescent="0.25">
      <c r="A636" t="s">
        <v>100</v>
      </c>
      <c r="B636" t="s">
        <v>742</v>
      </c>
      <c r="C636" t="s">
        <v>1108</v>
      </c>
      <c r="D636" t="s">
        <v>1120</v>
      </c>
      <c r="E636">
        <v>63.37</v>
      </c>
      <c r="F636">
        <v>693565</v>
      </c>
      <c r="G636" t="s">
        <v>1130</v>
      </c>
      <c r="H636" t="s">
        <v>1133</v>
      </c>
    </row>
    <row r="637" spans="1:8" x14ac:dyDescent="0.25">
      <c r="A637" t="s">
        <v>93</v>
      </c>
      <c r="B637" t="s">
        <v>743</v>
      </c>
      <c r="C637" t="s">
        <v>1110</v>
      </c>
      <c r="D637" t="s">
        <v>1118</v>
      </c>
      <c r="E637">
        <v>62.12</v>
      </c>
      <c r="F637">
        <v>706949</v>
      </c>
      <c r="G637" t="s">
        <v>1130</v>
      </c>
      <c r="H637" t="s">
        <v>1133</v>
      </c>
    </row>
    <row r="638" spans="1:8" x14ac:dyDescent="0.25">
      <c r="A638" t="s">
        <v>90</v>
      </c>
      <c r="B638" t="s">
        <v>744</v>
      </c>
      <c r="C638" t="s">
        <v>1110</v>
      </c>
      <c r="D638" t="s">
        <v>1121</v>
      </c>
      <c r="E638">
        <v>41.72</v>
      </c>
      <c r="F638">
        <v>959024</v>
      </c>
      <c r="G638" t="s">
        <v>1129</v>
      </c>
      <c r="H638" t="s">
        <v>1133</v>
      </c>
    </row>
    <row r="639" spans="1:8" x14ac:dyDescent="0.25">
      <c r="A639" t="s">
        <v>69</v>
      </c>
      <c r="B639" t="s">
        <v>745</v>
      </c>
      <c r="C639" t="s">
        <v>1117</v>
      </c>
      <c r="D639" t="s">
        <v>1122</v>
      </c>
      <c r="E639">
        <v>89.07</v>
      </c>
      <c r="F639">
        <v>120943</v>
      </c>
      <c r="G639" t="s">
        <v>1131</v>
      </c>
      <c r="H639" t="s">
        <v>1133</v>
      </c>
    </row>
    <row r="640" spans="1:8" x14ac:dyDescent="0.25">
      <c r="A640" t="s">
        <v>99</v>
      </c>
      <c r="B640" t="s">
        <v>746</v>
      </c>
      <c r="C640" t="s">
        <v>1113</v>
      </c>
      <c r="D640" t="s">
        <v>1127</v>
      </c>
      <c r="E640">
        <v>90.48</v>
      </c>
      <c r="F640">
        <v>395132</v>
      </c>
      <c r="G640" t="s">
        <v>1132</v>
      </c>
      <c r="H640" t="s">
        <v>1133</v>
      </c>
    </row>
    <row r="641" spans="1:8" x14ac:dyDescent="0.25">
      <c r="A641" t="s">
        <v>58</v>
      </c>
      <c r="B641" t="s">
        <v>747</v>
      </c>
      <c r="C641" t="s">
        <v>1114</v>
      </c>
      <c r="D641" t="s">
        <v>1126</v>
      </c>
      <c r="E641">
        <v>43.52</v>
      </c>
      <c r="F641">
        <v>775863</v>
      </c>
      <c r="G641" t="s">
        <v>1129</v>
      </c>
      <c r="H641" t="s">
        <v>1133</v>
      </c>
    </row>
    <row r="642" spans="1:8" x14ac:dyDescent="0.25">
      <c r="A642" t="s">
        <v>71</v>
      </c>
      <c r="B642" t="s">
        <v>748</v>
      </c>
      <c r="C642" t="s">
        <v>1114</v>
      </c>
      <c r="D642" t="s">
        <v>1123</v>
      </c>
      <c r="E642">
        <v>49.41</v>
      </c>
      <c r="F642">
        <v>638209</v>
      </c>
      <c r="G642" t="s">
        <v>1128</v>
      </c>
      <c r="H642" t="s">
        <v>1133</v>
      </c>
    </row>
    <row r="643" spans="1:8" x14ac:dyDescent="0.25">
      <c r="A643" t="s">
        <v>26</v>
      </c>
      <c r="B643" t="s">
        <v>749</v>
      </c>
      <c r="C643" t="s">
        <v>1115</v>
      </c>
      <c r="D643" t="s">
        <v>1127</v>
      </c>
      <c r="E643">
        <v>93.04</v>
      </c>
      <c r="F643">
        <v>446218</v>
      </c>
      <c r="G643" t="s">
        <v>1130</v>
      </c>
      <c r="H643" t="s">
        <v>1134</v>
      </c>
    </row>
    <row r="644" spans="1:8" x14ac:dyDescent="0.25">
      <c r="A644" t="s">
        <v>90</v>
      </c>
      <c r="B644" t="s">
        <v>750</v>
      </c>
      <c r="C644" t="s">
        <v>1117</v>
      </c>
      <c r="D644" t="s">
        <v>1122</v>
      </c>
      <c r="E644">
        <v>87.35</v>
      </c>
      <c r="F644">
        <v>619460</v>
      </c>
      <c r="G644" t="s">
        <v>1131</v>
      </c>
      <c r="H644" t="s">
        <v>1133</v>
      </c>
    </row>
    <row r="645" spans="1:8" x14ac:dyDescent="0.25">
      <c r="A645" t="s">
        <v>98</v>
      </c>
      <c r="B645" t="s">
        <v>751</v>
      </c>
      <c r="C645" t="s">
        <v>1113</v>
      </c>
      <c r="D645" t="s">
        <v>1122</v>
      </c>
      <c r="E645">
        <v>98.8</v>
      </c>
      <c r="F645">
        <v>802919</v>
      </c>
      <c r="G645" t="s">
        <v>1128</v>
      </c>
      <c r="H645" t="s">
        <v>1133</v>
      </c>
    </row>
    <row r="646" spans="1:8" x14ac:dyDescent="0.25">
      <c r="A646" t="s">
        <v>102</v>
      </c>
      <c r="B646" t="s">
        <v>752</v>
      </c>
      <c r="C646" t="s">
        <v>1108</v>
      </c>
      <c r="D646" t="s">
        <v>1120</v>
      </c>
      <c r="E646">
        <v>96.77</v>
      </c>
      <c r="F646">
        <v>423875</v>
      </c>
      <c r="G646" t="s">
        <v>1130</v>
      </c>
      <c r="H646" t="s">
        <v>1133</v>
      </c>
    </row>
    <row r="647" spans="1:8" x14ac:dyDescent="0.25">
      <c r="A647" t="s">
        <v>97</v>
      </c>
      <c r="B647" t="s">
        <v>753</v>
      </c>
      <c r="C647" t="s">
        <v>1113</v>
      </c>
      <c r="D647" t="s">
        <v>1121</v>
      </c>
      <c r="E647">
        <v>79.87</v>
      </c>
      <c r="F647">
        <v>187128</v>
      </c>
      <c r="G647" t="s">
        <v>1132</v>
      </c>
      <c r="H647" t="s">
        <v>1134</v>
      </c>
    </row>
    <row r="648" spans="1:8" x14ac:dyDescent="0.25">
      <c r="A648" t="s">
        <v>100</v>
      </c>
      <c r="B648" t="s">
        <v>754</v>
      </c>
      <c r="C648" t="s">
        <v>1110</v>
      </c>
      <c r="D648" t="s">
        <v>1126</v>
      </c>
      <c r="E648">
        <v>51.78</v>
      </c>
      <c r="F648">
        <v>586530</v>
      </c>
      <c r="G648" t="s">
        <v>1131</v>
      </c>
      <c r="H648" t="s">
        <v>1134</v>
      </c>
    </row>
    <row r="649" spans="1:8" x14ac:dyDescent="0.25">
      <c r="A649" t="s">
        <v>107</v>
      </c>
      <c r="B649" t="s">
        <v>755</v>
      </c>
      <c r="C649" t="s">
        <v>1108</v>
      </c>
      <c r="D649" t="s">
        <v>1121</v>
      </c>
      <c r="E649">
        <v>81.99</v>
      </c>
      <c r="F649">
        <v>432801</v>
      </c>
      <c r="G649" t="s">
        <v>1129</v>
      </c>
      <c r="H649" t="s">
        <v>1133</v>
      </c>
    </row>
    <row r="650" spans="1:8" x14ac:dyDescent="0.25">
      <c r="A650" t="s">
        <v>34</v>
      </c>
      <c r="B650" t="s">
        <v>756</v>
      </c>
      <c r="C650" t="s">
        <v>1115</v>
      </c>
      <c r="D650" t="s">
        <v>1124</v>
      </c>
      <c r="E650">
        <v>44.41</v>
      </c>
      <c r="F650">
        <v>940393</v>
      </c>
      <c r="G650" t="s">
        <v>1130</v>
      </c>
      <c r="H650" t="s">
        <v>1133</v>
      </c>
    </row>
    <row r="651" spans="1:8" x14ac:dyDescent="0.25">
      <c r="A651" t="s">
        <v>68</v>
      </c>
      <c r="B651" t="s">
        <v>757</v>
      </c>
      <c r="C651" t="s">
        <v>1110</v>
      </c>
      <c r="D651" t="s">
        <v>1118</v>
      </c>
      <c r="E651">
        <v>77.150000000000006</v>
      </c>
      <c r="F651">
        <v>104234</v>
      </c>
      <c r="G651" t="s">
        <v>1128</v>
      </c>
      <c r="H651" t="s">
        <v>1134</v>
      </c>
    </row>
    <row r="652" spans="1:8" x14ac:dyDescent="0.25">
      <c r="A652" t="s">
        <v>51</v>
      </c>
      <c r="B652" t="s">
        <v>758</v>
      </c>
      <c r="C652" t="s">
        <v>1108</v>
      </c>
      <c r="D652" t="s">
        <v>1124</v>
      </c>
      <c r="E652">
        <v>71.89</v>
      </c>
      <c r="F652">
        <v>308307</v>
      </c>
      <c r="G652" t="s">
        <v>1128</v>
      </c>
      <c r="H652" t="s">
        <v>1133</v>
      </c>
    </row>
    <row r="653" spans="1:8" x14ac:dyDescent="0.25">
      <c r="A653" t="s">
        <v>62</v>
      </c>
      <c r="B653" t="s">
        <v>759</v>
      </c>
      <c r="C653" t="s">
        <v>1110</v>
      </c>
      <c r="D653" t="s">
        <v>1118</v>
      </c>
      <c r="E653">
        <v>54.57</v>
      </c>
      <c r="F653">
        <v>843922</v>
      </c>
      <c r="G653" t="s">
        <v>1132</v>
      </c>
      <c r="H653" t="s">
        <v>1134</v>
      </c>
    </row>
    <row r="654" spans="1:8" x14ac:dyDescent="0.25">
      <c r="A654" t="s">
        <v>96</v>
      </c>
      <c r="B654" t="s">
        <v>760</v>
      </c>
      <c r="C654" t="s">
        <v>1108</v>
      </c>
      <c r="D654" t="s">
        <v>1122</v>
      </c>
      <c r="E654">
        <v>89.97</v>
      </c>
      <c r="F654">
        <v>701137</v>
      </c>
      <c r="G654" t="s">
        <v>1132</v>
      </c>
      <c r="H654" t="s">
        <v>1133</v>
      </c>
    </row>
    <row r="655" spans="1:8" x14ac:dyDescent="0.25">
      <c r="A655" t="s">
        <v>45</v>
      </c>
      <c r="B655" t="s">
        <v>761</v>
      </c>
      <c r="C655" t="s">
        <v>1111</v>
      </c>
      <c r="D655" t="s">
        <v>1122</v>
      </c>
      <c r="E655">
        <v>99.21</v>
      </c>
      <c r="F655">
        <v>510124</v>
      </c>
      <c r="G655" t="s">
        <v>1132</v>
      </c>
      <c r="H655" t="s">
        <v>1133</v>
      </c>
    </row>
    <row r="656" spans="1:8" x14ac:dyDescent="0.25">
      <c r="A656" t="s">
        <v>47</v>
      </c>
      <c r="B656" t="s">
        <v>762</v>
      </c>
      <c r="C656" t="s">
        <v>1115</v>
      </c>
      <c r="D656" t="s">
        <v>1118</v>
      </c>
      <c r="E656">
        <v>99.14</v>
      </c>
      <c r="F656">
        <v>191450</v>
      </c>
      <c r="G656" t="s">
        <v>1130</v>
      </c>
      <c r="H656" t="s">
        <v>1134</v>
      </c>
    </row>
    <row r="657" spans="1:8" x14ac:dyDescent="0.25">
      <c r="A657" t="s">
        <v>94</v>
      </c>
      <c r="B657" t="s">
        <v>763</v>
      </c>
      <c r="C657" t="s">
        <v>1113</v>
      </c>
      <c r="D657" t="s">
        <v>1120</v>
      </c>
      <c r="E657">
        <v>48.37</v>
      </c>
      <c r="F657">
        <v>271192</v>
      </c>
      <c r="G657" t="s">
        <v>1130</v>
      </c>
      <c r="H657" t="s">
        <v>1133</v>
      </c>
    </row>
    <row r="658" spans="1:8" x14ac:dyDescent="0.25">
      <c r="A658" t="s">
        <v>65</v>
      </c>
      <c r="B658" t="s">
        <v>764</v>
      </c>
      <c r="C658" t="s">
        <v>1115</v>
      </c>
      <c r="D658" t="s">
        <v>1125</v>
      </c>
      <c r="E658">
        <v>68.11</v>
      </c>
      <c r="F658">
        <v>177328</v>
      </c>
      <c r="G658" t="s">
        <v>1131</v>
      </c>
      <c r="H658" t="s">
        <v>1134</v>
      </c>
    </row>
    <row r="659" spans="1:8" x14ac:dyDescent="0.25">
      <c r="A659" t="s">
        <v>27</v>
      </c>
      <c r="B659" t="s">
        <v>765</v>
      </c>
      <c r="C659" t="s">
        <v>1111</v>
      </c>
      <c r="D659" t="s">
        <v>1122</v>
      </c>
      <c r="E659">
        <v>73.459999999999994</v>
      </c>
      <c r="F659">
        <v>996454</v>
      </c>
      <c r="G659" t="s">
        <v>1132</v>
      </c>
      <c r="H659" t="s">
        <v>1133</v>
      </c>
    </row>
    <row r="660" spans="1:8" x14ac:dyDescent="0.25">
      <c r="A660" t="s">
        <v>86</v>
      </c>
      <c r="B660" t="s">
        <v>766</v>
      </c>
      <c r="C660" t="s">
        <v>1111</v>
      </c>
      <c r="D660" t="s">
        <v>1126</v>
      </c>
      <c r="E660">
        <v>96.57</v>
      </c>
      <c r="F660">
        <v>186368</v>
      </c>
      <c r="G660" t="s">
        <v>1128</v>
      </c>
      <c r="H660" t="s">
        <v>1133</v>
      </c>
    </row>
    <row r="661" spans="1:8" x14ac:dyDescent="0.25">
      <c r="A661" t="s">
        <v>38</v>
      </c>
      <c r="B661" t="s">
        <v>767</v>
      </c>
      <c r="C661" t="s">
        <v>1113</v>
      </c>
      <c r="D661" t="s">
        <v>1126</v>
      </c>
      <c r="E661">
        <v>40.54</v>
      </c>
      <c r="F661">
        <v>528299</v>
      </c>
      <c r="G661" t="s">
        <v>1129</v>
      </c>
      <c r="H661" t="s">
        <v>1133</v>
      </c>
    </row>
    <row r="662" spans="1:8" x14ac:dyDescent="0.25">
      <c r="A662" t="s">
        <v>69</v>
      </c>
      <c r="B662" t="s">
        <v>768</v>
      </c>
      <c r="C662" t="s">
        <v>1114</v>
      </c>
      <c r="D662" t="s">
        <v>1125</v>
      </c>
      <c r="E662">
        <v>69.13</v>
      </c>
      <c r="F662">
        <v>266587</v>
      </c>
      <c r="G662" t="s">
        <v>1128</v>
      </c>
      <c r="H662" t="s">
        <v>1133</v>
      </c>
    </row>
    <row r="663" spans="1:8" x14ac:dyDescent="0.25">
      <c r="A663" t="s">
        <v>10</v>
      </c>
      <c r="B663" t="s">
        <v>769</v>
      </c>
      <c r="C663" t="s">
        <v>1109</v>
      </c>
      <c r="D663" t="s">
        <v>1118</v>
      </c>
      <c r="E663">
        <v>53.15</v>
      </c>
      <c r="F663">
        <v>519642</v>
      </c>
      <c r="G663" t="s">
        <v>1129</v>
      </c>
      <c r="H663" t="s">
        <v>1133</v>
      </c>
    </row>
    <row r="664" spans="1:8" x14ac:dyDescent="0.25">
      <c r="A664" t="s">
        <v>55</v>
      </c>
      <c r="B664" t="s">
        <v>770</v>
      </c>
      <c r="C664" t="s">
        <v>1114</v>
      </c>
      <c r="D664" t="s">
        <v>1125</v>
      </c>
      <c r="E664">
        <v>48.53</v>
      </c>
      <c r="F664">
        <v>315037</v>
      </c>
      <c r="G664" t="s">
        <v>1130</v>
      </c>
      <c r="H664" t="s">
        <v>1134</v>
      </c>
    </row>
    <row r="665" spans="1:8" x14ac:dyDescent="0.25">
      <c r="A665" t="s">
        <v>55</v>
      </c>
      <c r="B665" t="s">
        <v>771</v>
      </c>
      <c r="C665" t="s">
        <v>1112</v>
      </c>
      <c r="D665" t="s">
        <v>1122</v>
      </c>
      <c r="E665">
        <v>92.72</v>
      </c>
      <c r="F665">
        <v>601632</v>
      </c>
      <c r="G665" t="s">
        <v>1128</v>
      </c>
      <c r="H665" t="s">
        <v>1134</v>
      </c>
    </row>
    <row r="666" spans="1:8" x14ac:dyDescent="0.25">
      <c r="A666" t="s">
        <v>92</v>
      </c>
      <c r="B666" t="s">
        <v>772</v>
      </c>
      <c r="C666" t="s">
        <v>1112</v>
      </c>
      <c r="D666" t="s">
        <v>1120</v>
      </c>
      <c r="E666">
        <v>97.46</v>
      </c>
      <c r="F666">
        <v>262685</v>
      </c>
      <c r="G666" t="s">
        <v>1128</v>
      </c>
      <c r="H666" t="s">
        <v>1133</v>
      </c>
    </row>
    <row r="667" spans="1:8" x14ac:dyDescent="0.25">
      <c r="A667" t="s">
        <v>74</v>
      </c>
      <c r="B667" t="s">
        <v>773</v>
      </c>
      <c r="C667" t="s">
        <v>1112</v>
      </c>
      <c r="D667" t="s">
        <v>1127</v>
      </c>
      <c r="E667">
        <v>97.11</v>
      </c>
      <c r="F667">
        <v>862440</v>
      </c>
      <c r="G667" t="s">
        <v>1130</v>
      </c>
      <c r="H667" t="s">
        <v>1133</v>
      </c>
    </row>
    <row r="668" spans="1:8" x14ac:dyDescent="0.25">
      <c r="A668" t="s">
        <v>107</v>
      </c>
      <c r="B668" t="s">
        <v>774</v>
      </c>
      <c r="C668" t="s">
        <v>1108</v>
      </c>
      <c r="D668" t="s">
        <v>1118</v>
      </c>
      <c r="E668">
        <v>72.41</v>
      </c>
      <c r="F668">
        <v>259626</v>
      </c>
      <c r="G668" t="s">
        <v>1129</v>
      </c>
      <c r="H668" t="s">
        <v>1133</v>
      </c>
    </row>
    <row r="669" spans="1:8" x14ac:dyDescent="0.25">
      <c r="A669" t="s">
        <v>79</v>
      </c>
      <c r="B669" t="s">
        <v>775</v>
      </c>
      <c r="C669" t="s">
        <v>1114</v>
      </c>
      <c r="D669" t="s">
        <v>1127</v>
      </c>
      <c r="E669">
        <v>54.66</v>
      </c>
      <c r="F669">
        <v>887375</v>
      </c>
      <c r="G669" t="s">
        <v>1128</v>
      </c>
      <c r="H669" t="s">
        <v>1133</v>
      </c>
    </row>
    <row r="670" spans="1:8" x14ac:dyDescent="0.25">
      <c r="A670" t="s">
        <v>80</v>
      </c>
      <c r="B670" t="s">
        <v>776</v>
      </c>
      <c r="C670" t="s">
        <v>1117</v>
      </c>
      <c r="D670" t="s">
        <v>1119</v>
      </c>
      <c r="E670">
        <v>81.13</v>
      </c>
      <c r="F670">
        <v>981046</v>
      </c>
      <c r="G670" t="s">
        <v>1129</v>
      </c>
      <c r="H670" t="s">
        <v>1133</v>
      </c>
    </row>
    <row r="671" spans="1:8" x14ac:dyDescent="0.25">
      <c r="A671" t="s">
        <v>93</v>
      </c>
      <c r="B671" t="s">
        <v>777</v>
      </c>
      <c r="C671" t="s">
        <v>1111</v>
      </c>
      <c r="D671" t="s">
        <v>1125</v>
      </c>
      <c r="E671">
        <v>81.150000000000006</v>
      </c>
      <c r="F671">
        <v>536412</v>
      </c>
      <c r="G671" t="s">
        <v>1130</v>
      </c>
      <c r="H671" t="s">
        <v>1133</v>
      </c>
    </row>
    <row r="672" spans="1:8" x14ac:dyDescent="0.25">
      <c r="A672" t="s">
        <v>33</v>
      </c>
      <c r="B672" t="s">
        <v>778</v>
      </c>
      <c r="C672" t="s">
        <v>1114</v>
      </c>
      <c r="D672" t="s">
        <v>1122</v>
      </c>
      <c r="E672">
        <v>94.01</v>
      </c>
      <c r="F672">
        <v>332368</v>
      </c>
      <c r="G672" t="s">
        <v>1130</v>
      </c>
      <c r="H672" t="s">
        <v>1134</v>
      </c>
    </row>
    <row r="673" spans="1:8" x14ac:dyDescent="0.25">
      <c r="A673" t="s">
        <v>81</v>
      </c>
      <c r="B673" t="s">
        <v>779</v>
      </c>
      <c r="C673" t="s">
        <v>1110</v>
      </c>
      <c r="D673" t="s">
        <v>1119</v>
      </c>
      <c r="E673">
        <v>54.32</v>
      </c>
      <c r="F673">
        <v>715401</v>
      </c>
      <c r="G673" t="s">
        <v>1129</v>
      </c>
      <c r="H673" t="s">
        <v>1133</v>
      </c>
    </row>
    <row r="674" spans="1:8" x14ac:dyDescent="0.25">
      <c r="A674" t="s">
        <v>94</v>
      </c>
      <c r="B674" t="s">
        <v>780</v>
      </c>
      <c r="C674" t="s">
        <v>1115</v>
      </c>
      <c r="D674" t="s">
        <v>1125</v>
      </c>
      <c r="E674">
        <v>58.11</v>
      </c>
      <c r="F674">
        <v>376358</v>
      </c>
      <c r="G674" t="s">
        <v>1131</v>
      </c>
      <c r="H674" t="s">
        <v>1134</v>
      </c>
    </row>
    <row r="675" spans="1:8" x14ac:dyDescent="0.25">
      <c r="A675" t="s">
        <v>57</v>
      </c>
      <c r="B675" t="s">
        <v>781</v>
      </c>
      <c r="C675" t="s">
        <v>1113</v>
      </c>
      <c r="D675" t="s">
        <v>1119</v>
      </c>
      <c r="E675">
        <v>85.55</v>
      </c>
      <c r="F675">
        <v>499769</v>
      </c>
      <c r="G675" t="s">
        <v>1132</v>
      </c>
      <c r="H675" t="s">
        <v>1134</v>
      </c>
    </row>
    <row r="676" spans="1:8" x14ac:dyDescent="0.25">
      <c r="A676" t="s">
        <v>17</v>
      </c>
      <c r="B676" t="s">
        <v>782</v>
      </c>
      <c r="C676" t="s">
        <v>1114</v>
      </c>
      <c r="D676" t="s">
        <v>1118</v>
      </c>
      <c r="E676">
        <v>56.64</v>
      </c>
      <c r="F676">
        <v>384107</v>
      </c>
      <c r="G676" t="s">
        <v>1131</v>
      </c>
      <c r="H676" t="s">
        <v>1134</v>
      </c>
    </row>
    <row r="677" spans="1:8" x14ac:dyDescent="0.25">
      <c r="A677" t="s">
        <v>78</v>
      </c>
      <c r="B677" t="s">
        <v>783</v>
      </c>
      <c r="C677" t="s">
        <v>1108</v>
      </c>
      <c r="D677" t="s">
        <v>1119</v>
      </c>
      <c r="E677">
        <v>70.3</v>
      </c>
      <c r="F677">
        <v>958464</v>
      </c>
      <c r="G677" t="s">
        <v>1128</v>
      </c>
      <c r="H677" t="s">
        <v>1133</v>
      </c>
    </row>
    <row r="678" spans="1:8" x14ac:dyDescent="0.25">
      <c r="A678" t="s">
        <v>72</v>
      </c>
      <c r="B678" t="s">
        <v>784</v>
      </c>
      <c r="C678" t="s">
        <v>1117</v>
      </c>
      <c r="D678" t="s">
        <v>1120</v>
      </c>
      <c r="E678">
        <v>48.62</v>
      </c>
      <c r="F678">
        <v>676888</v>
      </c>
      <c r="G678" t="s">
        <v>1130</v>
      </c>
      <c r="H678" t="s">
        <v>1134</v>
      </c>
    </row>
    <row r="679" spans="1:8" x14ac:dyDescent="0.25">
      <c r="A679" t="s">
        <v>78</v>
      </c>
      <c r="B679" t="s">
        <v>785</v>
      </c>
      <c r="C679" t="s">
        <v>1117</v>
      </c>
      <c r="D679" t="s">
        <v>1126</v>
      </c>
      <c r="E679">
        <v>97.39</v>
      </c>
      <c r="F679">
        <v>429897</v>
      </c>
      <c r="G679" t="s">
        <v>1129</v>
      </c>
      <c r="H679" t="s">
        <v>1133</v>
      </c>
    </row>
    <row r="680" spans="1:8" x14ac:dyDescent="0.25">
      <c r="A680" t="s">
        <v>32</v>
      </c>
      <c r="B680" t="s">
        <v>786</v>
      </c>
      <c r="C680" t="s">
        <v>1111</v>
      </c>
      <c r="D680" t="s">
        <v>1123</v>
      </c>
      <c r="E680">
        <v>38.159999999999997</v>
      </c>
      <c r="F680">
        <v>484634</v>
      </c>
      <c r="G680" t="s">
        <v>1129</v>
      </c>
      <c r="H680" t="s">
        <v>1133</v>
      </c>
    </row>
    <row r="681" spans="1:8" x14ac:dyDescent="0.25">
      <c r="A681" t="s">
        <v>93</v>
      </c>
      <c r="B681" t="s">
        <v>787</v>
      </c>
      <c r="C681" t="s">
        <v>1112</v>
      </c>
      <c r="D681" t="s">
        <v>1127</v>
      </c>
      <c r="E681">
        <v>59.03</v>
      </c>
      <c r="F681">
        <v>575077</v>
      </c>
      <c r="G681" t="s">
        <v>1132</v>
      </c>
      <c r="H681" t="s">
        <v>1134</v>
      </c>
    </row>
    <row r="682" spans="1:8" x14ac:dyDescent="0.25">
      <c r="A682" t="s">
        <v>23</v>
      </c>
      <c r="B682" t="s">
        <v>788</v>
      </c>
      <c r="C682" t="s">
        <v>1108</v>
      </c>
      <c r="D682" t="s">
        <v>1118</v>
      </c>
      <c r="E682">
        <v>59.67</v>
      </c>
      <c r="F682">
        <v>294426</v>
      </c>
      <c r="G682" t="s">
        <v>1132</v>
      </c>
      <c r="H682" t="s">
        <v>1133</v>
      </c>
    </row>
    <row r="683" spans="1:8" x14ac:dyDescent="0.25">
      <c r="A683" t="s">
        <v>56</v>
      </c>
      <c r="B683" t="s">
        <v>789</v>
      </c>
      <c r="C683" t="s">
        <v>1108</v>
      </c>
      <c r="D683" t="s">
        <v>1121</v>
      </c>
      <c r="E683">
        <v>56.33</v>
      </c>
      <c r="F683">
        <v>114622</v>
      </c>
      <c r="G683" t="s">
        <v>1128</v>
      </c>
      <c r="H683" t="s">
        <v>1133</v>
      </c>
    </row>
    <row r="684" spans="1:8" x14ac:dyDescent="0.25">
      <c r="A684" t="s">
        <v>49</v>
      </c>
      <c r="B684" t="s">
        <v>790</v>
      </c>
      <c r="C684" t="s">
        <v>1110</v>
      </c>
      <c r="D684" t="s">
        <v>1127</v>
      </c>
      <c r="E684">
        <v>72.52</v>
      </c>
      <c r="F684">
        <v>224086</v>
      </c>
      <c r="G684" t="s">
        <v>1130</v>
      </c>
      <c r="H684" t="s">
        <v>1133</v>
      </c>
    </row>
    <row r="685" spans="1:8" x14ac:dyDescent="0.25">
      <c r="A685" t="s">
        <v>59</v>
      </c>
      <c r="B685" t="s">
        <v>791</v>
      </c>
      <c r="C685" t="s">
        <v>1117</v>
      </c>
      <c r="D685" t="s">
        <v>1120</v>
      </c>
      <c r="E685">
        <v>59.98</v>
      </c>
      <c r="F685">
        <v>734505</v>
      </c>
      <c r="G685" t="s">
        <v>1131</v>
      </c>
      <c r="H685" t="s">
        <v>1134</v>
      </c>
    </row>
    <row r="686" spans="1:8" x14ac:dyDescent="0.25">
      <c r="A686" t="s">
        <v>45</v>
      </c>
      <c r="B686" t="s">
        <v>792</v>
      </c>
      <c r="C686" t="s">
        <v>1113</v>
      </c>
      <c r="D686" t="s">
        <v>1123</v>
      </c>
      <c r="E686">
        <v>60.23</v>
      </c>
      <c r="F686">
        <v>346770</v>
      </c>
      <c r="G686" t="s">
        <v>1132</v>
      </c>
      <c r="H686" t="s">
        <v>1133</v>
      </c>
    </row>
    <row r="687" spans="1:8" x14ac:dyDescent="0.25">
      <c r="A687" t="s">
        <v>11</v>
      </c>
      <c r="B687" t="s">
        <v>793</v>
      </c>
      <c r="C687" t="s">
        <v>1113</v>
      </c>
      <c r="D687" t="s">
        <v>1125</v>
      </c>
      <c r="E687">
        <v>87.82</v>
      </c>
      <c r="F687">
        <v>890234</v>
      </c>
      <c r="G687" t="s">
        <v>1130</v>
      </c>
      <c r="H687" t="s">
        <v>1133</v>
      </c>
    </row>
    <row r="688" spans="1:8" x14ac:dyDescent="0.25">
      <c r="A688" t="s">
        <v>40</v>
      </c>
      <c r="B688" t="s">
        <v>794</v>
      </c>
      <c r="C688" t="s">
        <v>1115</v>
      </c>
      <c r="D688" t="s">
        <v>1122</v>
      </c>
      <c r="E688">
        <v>98.73</v>
      </c>
      <c r="F688">
        <v>560191</v>
      </c>
      <c r="G688" t="s">
        <v>1129</v>
      </c>
      <c r="H688" t="s">
        <v>1133</v>
      </c>
    </row>
    <row r="689" spans="1:8" x14ac:dyDescent="0.25">
      <c r="A689" t="s">
        <v>45</v>
      </c>
      <c r="B689" t="s">
        <v>795</v>
      </c>
      <c r="C689" t="s">
        <v>1110</v>
      </c>
      <c r="D689" t="s">
        <v>1126</v>
      </c>
      <c r="E689">
        <v>75.599999999999994</v>
      </c>
      <c r="F689">
        <v>779059</v>
      </c>
      <c r="G689" t="s">
        <v>1130</v>
      </c>
      <c r="H689" t="s">
        <v>1133</v>
      </c>
    </row>
    <row r="690" spans="1:8" x14ac:dyDescent="0.25">
      <c r="A690" t="s">
        <v>23</v>
      </c>
      <c r="B690" t="s">
        <v>796</v>
      </c>
      <c r="C690" t="s">
        <v>1115</v>
      </c>
      <c r="D690" t="s">
        <v>1127</v>
      </c>
      <c r="E690">
        <v>85.52</v>
      </c>
      <c r="F690">
        <v>910599</v>
      </c>
      <c r="G690" t="s">
        <v>1132</v>
      </c>
      <c r="H690" t="s">
        <v>1133</v>
      </c>
    </row>
    <row r="691" spans="1:8" x14ac:dyDescent="0.25">
      <c r="A691" t="s">
        <v>32</v>
      </c>
      <c r="B691" t="s">
        <v>797</v>
      </c>
      <c r="C691" t="s">
        <v>1112</v>
      </c>
      <c r="D691" t="s">
        <v>1119</v>
      </c>
      <c r="E691">
        <v>74.34</v>
      </c>
      <c r="F691">
        <v>220063</v>
      </c>
      <c r="G691" t="s">
        <v>1130</v>
      </c>
      <c r="H691" t="s">
        <v>1133</v>
      </c>
    </row>
    <row r="692" spans="1:8" x14ac:dyDescent="0.25">
      <c r="A692" t="s">
        <v>91</v>
      </c>
      <c r="B692" t="s">
        <v>798</v>
      </c>
      <c r="C692" t="s">
        <v>1117</v>
      </c>
      <c r="D692" t="s">
        <v>1121</v>
      </c>
      <c r="E692">
        <v>94.93</v>
      </c>
      <c r="F692">
        <v>877225</v>
      </c>
      <c r="G692" t="s">
        <v>1131</v>
      </c>
      <c r="H692" t="s">
        <v>1133</v>
      </c>
    </row>
    <row r="693" spans="1:8" x14ac:dyDescent="0.25">
      <c r="A693" t="s">
        <v>30</v>
      </c>
      <c r="B693" t="s">
        <v>799</v>
      </c>
      <c r="C693" t="s">
        <v>1113</v>
      </c>
      <c r="D693" t="s">
        <v>1119</v>
      </c>
      <c r="E693">
        <v>83.47</v>
      </c>
      <c r="F693">
        <v>875413</v>
      </c>
      <c r="G693" t="s">
        <v>1128</v>
      </c>
      <c r="H693" t="s">
        <v>1134</v>
      </c>
    </row>
    <row r="694" spans="1:8" x14ac:dyDescent="0.25">
      <c r="A694" t="s">
        <v>107</v>
      </c>
      <c r="B694" t="s">
        <v>800</v>
      </c>
      <c r="C694" t="s">
        <v>1111</v>
      </c>
      <c r="D694" t="s">
        <v>1123</v>
      </c>
      <c r="E694">
        <v>87.2</v>
      </c>
      <c r="F694">
        <v>745316</v>
      </c>
      <c r="G694" t="s">
        <v>1132</v>
      </c>
      <c r="H694" t="s">
        <v>1133</v>
      </c>
    </row>
    <row r="695" spans="1:8" x14ac:dyDescent="0.25">
      <c r="A695" t="s">
        <v>44</v>
      </c>
      <c r="B695" t="s">
        <v>801</v>
      </c>
      <c r="C695" t="s">
        <v>1110</v>
      </c>
      <c r="D695" t="s">
        <v>1126</v>
      </c>
      <c r="E695">
        <v>48.02</v>
      </c>
      <c r="F695">
        <v>774632</v>
      </c>
      <c r="G695" t="s">
        <v>1131</v>
      </c>
      <c r="H695" t="s">
        <v>1133</v>
      </c>
    </row>
    <row r="696" spans="1:8" x14ac:dyDescent="0.25">
      <c r="A696" t="s">
        <v>28</v>
      </c>
      <c r="B696" t="s">
        <v>802</v>
      </c>
      <c r="C696" t="s">
        <v>1112</v>
      </c>
      <c r="D696" t="s">
        <v>1118</v>
      </c>
      <c r="E696">
        <v>64.94</v>
      </c>
      <c r="F696">
        <v>677194</v>
      </c>
      <c r="G696" t="s">
        <v>1128</v>
      </c>
      <c r="H696" t="s">
        <v>1134</v>
      </c>
    </row>
    <row r="697" spans="1:8" x14ac:dyDescent="0.25">
      <c r="A697" t="s">
        <v>106</v>
      </c>
      <c r="B697" t="s">
        <v>803</v>
      </c>
      <c r="C697" t="s">
        <v>1114</v>
      </c>
      <c r="D697" t="s">
        <v>1120</v>
      </c>
      <c r="E697">
        <v>69.540000000000006</v>
      </c>
      <c r="F697">
        <v>139780</v>
      </c>
      <c r="G697" t="s">
        <v>1132</v>
      </c>
      <c r="H697" t="s">
        <v>1133</v>
      </c>
    </row>
    <row r="698" spans="1:8" x14ac:dyDescent="0.25">
      <c r="A698" t="s">
        <v>45</v>
      </c>
      <c r="B698" t="s">
        <v>804</v>
      </c>
      <c r="C698" t="s">
        <v>1115</v>
      </c>
      <c r="D698" t="s">
        <v>1120</v>
      </c>
      <c r="E698">
        <v>78.22</v>
      </c>
      <c r="F698">
        <v>462898</v>
      </c>
      <c r="G698" t="s">
        <v>1132</v>
      </c>
      <c r="H698" t="s">
        <v>1133</v>
      </c>
    </row>
    <row r="699" spans="1:8" x14ac:dyDescent="0.25">
      <c r="A699" t="s">
        <v>43</v>
      </c>
      <c r="B699" t="s">
        <v>805</v>
      </c>
      <c r="C699" t="s">
        <v>1116</v>
      </c>
      <c r="D699" t="s">
        <v>1119</v>
      </c>
      <c r="E699">
        <v>68.709999999999994</v>
      </c>
      <c r="F699">
        <v>255571</v>
      </c>
      <c r="G699" t="s">
        <v>1132</v>
      </c>
      <c r="H699" t="s">
        <v>1133</v>
      </c>
    </row>
    <row r="700" spans="1:8" x14ac:dyDescent="0.25">
      <c r="A700" t="s">
        <v>36</v>
      </c>
      <c r="B700" t="s">
        <v>806</v>
      </c>
      <c r="C700" t="s">
        <v>1117</v>
      </c>
      <c r="D700" t="s">
        <v>1121</v>
      </c>
      <c r="E700">
        <v>95.3</v>
      </c>
      <c r="F700">
        <v>951631</v>
      </c>
      <c r="G700" t="s">
        <v>1129</v>
      </c>
      <c r="H700" t="s">
        <v>1133</v>
      </c>
    </row>
    <row r="701" spans="1:8" x14ac:dyDescent="0.25">
      <c r="A701" t="s">
        <v>91</v>
      </c>
      <c r="B701" t="s">
        <v>807</v>
      </c>
      <c r="C701" t="s">
        <v>1109</v>
      </c>
      <c r="D701" t="s">
        <v>1122</v>
      </c>
      <c r="E701">
        <v>46.33</v>
      </c>
      <c r="F701">
        <v>636540</v>
      </c>
      <c r="G701" t="s">
        <v>1130</v>
      </c>
      <c r="H701" t="s">
        <v>1133</v>
      </c>
    </row>
    <row r="702" spans="1:8" x14ac:dyDescent="0.25">
      <c r="A702" t="s">
        <v>22</v>
      </c>
      <c r="B702" t="s">
        <v>808</v>
      </c>
      <c r="C702" t="s">
        <v>1111</v>
      </c>
      <c r="D702" t="s">
        <v>1122</v>
      </c>
      <c r="E702">
        <v>43.17</v>
      </c>
      <c r="F702">
        <v>852573</v>
      </c>
      <c r="G702" t="s">
        <v>1129</v>
      </c>
      <c r="H702" t="s">
        <v>1133</v>
      </c>
    </row>
    <row r="703" spans="1:8" x14ac:dyDescent="0.25">
      <c r="A703" t="s">
        <v>33</v>
      </c>
      <c r="B703" t="s">
        <v>809</v>
      </c>
      <c r="C703" t="s">
        <v>1116</v>
      </c>
      <c r="D703" t="s">
        <v>1123</v>
      </c>
      <c r="E703">
        <v>96.66</v>
      </c>
      <c r="F703">
        <v>561652</v>
      </c>
      <c r="G703" t="s">
        <v>1132</v>
      </c>
      <c r="H703" t="s">
        <v>1133</v>
      </c>
    </row>
    <row r="704" spans="1:8" x14ac:dyDescent="0.25">
      <c r="A704" t="s">
        <v>35</v>
      </c>
      <c r="B704" t="s">
        <v>810</v>
      </c>
      <c r="C704" t="s">
        <v>1114</v>
      </c>
      <c r="D704" t="s">
        <v>1122</v>
      </c>
      <c r="E704">
        <v>54.67</v>
      </c>
      <c r="F704">
        <v>710724</v>
      </c>
      <c r="G704" t="s">
        <v>1129</v>
      </c>
      <c r="H704" t="s">
        <v>1133</v>
      </c>
    </row>
    <row r="705" spans="1:8" x14ac:dyDescent="0.25">
      <c r="A705" t="s">
        <v>95</v>
      </c>
      <c r="B705" t="s">
        <v>811</v>
      </c>
      <c r="C705" t="s">
        <v>1115</v>
      </c>
      <c r="D705" t="s">
        <v>1121</v>
      </c>
      <c r="E705">
        <v>84.44</v>
      </c>
      <c r="F705">
        <v>966132</v>
      </c>
      <c r="G705" t="s">
        <v>1129</v>
      </c>
      <c r="H705" t="s">
        <v>1133</v>
      </c>
    </row>
    <row r="706" spans="1:8" x14ac:dyDescent="0.25">
      <c r="A706" t="s">
        <v>51</v>
      </c>
      <c r="B706" t="s">
        <v>812</v>
      </c>
      <c r="C706" t="s">
        <v>1110</v>
      </c>
      <c r="D706" t="s">
        <v>1123</v>
      </c>
      <c r="E706">
        <v>94.42</v>
      </c>
      <c r="F706">
        <v>477748</v>
      </c>
      <c r="G706" t="s">
        <v>1128</v>
      </c>
      <c r="H706" t="s">
        <v>1133</v>
      </c>
    </row>
    <row r="707" spans="1:8" x14ac:dyDescent="0.25">
      <c r="A707" t="s">
        <v>71</v>
      </c>
      <c r="B707" t="s">
        <v>813</v>
      </c>
      <c r="C707" t="s">
        <v>1112</v>
      </c>
      <c r="D707" t="s">
        <v>1123</v>
      </c>
      <c r="E707">
        <v>37.64</v>
      </c>
      <c r="F707">
        <v>146347</v>
      </c>
      <c r="G707" t="s">
        <v>1132</v>
      </c>
      <c r="H707" t="s">
        <v>1134</v>
      </c>
    </row>
    <row r="708" spans="1:8" x14ac:dyDescent="0.25">
      <c r="A708" t="s">
        <v>66</v>
      </c>
      <c r="B708" t="s">
        <v>814</v>
      </c>
      <c r="C708" t="s">
        <v>1109</v>
      </c>
      <c r="D708" t="s">
        <v>1124</v>
      </c>
      <c r="E708">
        <v>83.67</v>
      </c>
      <c r="F708">
        <v>230942</v>
      </c>
      <c r="G708" t="s">
        <v>1128</v>
      </c>
      <c r="H708" t="s">
        <v>1133</v>
      </c>
    </row>
    <row r="709" spans="1:8" x14ac:dyDescent="0.25">
      <c r="A709" t="s">
        <v>19</v>
      </c>
      <c r="B709" t="s">
        <v>815</v>
      </c>
      <c r="C709" t="s">
        <v>1111</v>
      </c>
      <c r="D709" t="s">
        <v>1124</v>
      </c>
      <c r="E709">
        <v>98.05</v>
      </c>
      <c r="F709">
        <v>546606</v>
      </c>
      <c r="G709" t="s">
        <v>1130</v>
      </c>
      <c r="H709" t="s">
        <v>1133</v>
      </c>
    </row>
    <row r="710" spans="1:8" x14ac:dyDescent="0.25">
      <c r="A710" t="s">
        <v>15</v>
      </c>
      <c r="B710" t="s">
        <v>816</v>
      </c>
      <c r="C710" t="s">
        <v>1116</v>
      </c>
      <c r="D710" t="s">
        <v>1125</v>
      </c>
      <c r="E710">
        <v>59</v>
      </c>
      <c r="F710">
        <v>610852</v>
      </c>
      <c r="G710" t="s">
        <v>1130</v>
      </c>
      <c r="H710" t="s">
        <v>1133</v>
      </c>
    </row>
    <row r="711" spans="1:8" x14ac:dyDescent="0.25">
      <c r="A711" t="s">
        <v>75</v>
      </c>
      <c r="B711" t="s">
        <v>817</v>
      </c>
      <c r="C711" t="s">
        <v>1117</v>
      </c>
      <c r="D711" t="s">
        <v>1125</v>
      </c>
      <c r="E711">
        <v>83.41</v>
      </c>
      <c r="F711">
        <v>417900</v>
      </c>
      <c r="G711" t="s">
        <v>1128</v>
      </c>
      <c r="H711" t="s">
        <v>1133</v>
      </c>
    </row>
    <row r="712" spans="1:8" x14ac:dyDescent="0.25">
      <c r="A712" t="s">
        <v>14</v>
      </c>
      <c r="B712" t="s">
        <v>818</v>
      </c>
      <c r="C712" t="s">
        <v>1109</v>
      </c>
      <c r="D712" t="s">
        <v>1127</v>
      </c>
      <c r="E712">
        <v>94.4</v>
      </c>
      <c r="F712">
        <v>975194</v>
      </c>
      <c r="G712" t="s">
        <v>1132</v>
      </c>
      <c r="H712" t="s">
        <v>1133</v>
      </c>
    </row>
    <row r="713" spans="1:8" x14ac:dyDescent="0.25">
      <c r="A713" t="s">
        <v>73</v>
      </c>
      <c r="B713" t="s">
        <v>819</v>
      </c>
      <c r="C713" t="s">
        <v>1116</v>
      </c>
      <c r="D713" t="s">
        <v>1120</v>
      </c>
      <c r="E713">
        <v>74.709999999999994</v>
      </c>
      <c r="F713">
        <v>548718</v>
      </c>
      <c r="G713" t="s">
        <v>1132</v>
      </c>
      <c r="H713" t="s">
        <v>1134</v>
      </c>
    </row>
    <row r="714" spans="1:8" x14ac:dyDescent="0.25">
      <c r="A714" t="s">
        <v>55</v>
      </c>
      <c r="B714" t="s">
        <v>820</v>
      </c>
      <c r="C714" t="s">
        <v>1114</v>
      </c>
      <c r="D714" t="s">
        <v>1127</v>
      </c>
      <c r="E714">
        <v>91.73</v>
      </c>
      <c r="F714">
        <v>739688</v>
      </c>
      <c r="G714" t="s">
        <v>1132</v>
      </c>
      <c r="H714" t="s">
        <v>1133</v>
      </c>
    </row>
    <row r="715" spans="1:8" x14ac:dyDescent="0.25">
      <c r="A715" t="s">
        <v>62</v>
      </c>
      <c r="B715" t="s">
        <v>821</v>
      </c>
      <c r="C715" t="s">
        <v>1113</v>
      </c>
      <c r="D715" t="s">
        <v>1125</v>
      </c>
      <c r="E715">
        <v>76.95</v>
      </c>
      <c r="F715">
        <v>508507</v>
      </c>
      <c r="G715" t="s">
        <v>1131</v>
      </c>
      <c r="H715" t="s">
        <v>1133</v>
      </c>
    </row>
    <row r="716" spans="1:8" x14ac:dyDescent="0.25">
      <c r="A716" t="s">
        <v>92</v>
      </c>
      <c r="B716" t="s">
        <v>822</v>
      </c>
      <c r="C716" t="s">
        <v>1116</v>
      </c>
      <c r="D716" t="s">
        <v>1121</v>
      </c>
      <c r="E716">
        <v>91.68</v>
      </c>
      <c r="F716">
        <v>869916</v>
      </c>
      <c r="G716" t="s">
        <v>1132</v>
      </c>
      <c r="H716" t="s">
        <v>1134</v>
      </c>
    </row>
    <row r="717" spans="1:8" x14ac:dyDescent="0.25">
      <c r="A717" t="s">
        <v>24</v>
      </c>
      <c r="B717" t="s">
        <v>823</v>
      </c>
      <c r="C717" t="s">
        <v>1117</v>
      </c>
      <c r="D717" t="s">
        <v>1122</v>
      </c>
      <c r="E717">
        <v>53.1</v>
      </c>
      <c r="F717">
        <v>737109</v>
      </c>
      <c r="G717" t="s">
        <v>1132</v>
      </c>
      <c r="H717" t="s">
        <v>1133</v>
      </c>
    </row>
    <row r="718" spans="1:8" x14ac:dyDescent="0.25">
      <c r="A718" t="s">
        <v>59</v>
      </c>
      <c r="B718" t="s">
        <v>824</v>
      </c>
      <c r="C718" t="s">
        <v>1108</v>
      </c>
      <c r="D718" t="s">
        <v>1121</v>
      </c>
      <c r="E718">
        <v>85.66</v>
      </c>
      <c r="F718">
        <v>384161</v>
      </c>
      <c r="G718" t="s">
        <v>1132</v>
      </c>
      <c r="H718" t="s">
        <v>1133</v>
      </c>
    </row>
    <row r="719" spans="1:8" x14ac:dyDescent="0.25">
      <c r="A719" t="s">
        <v>32</v>
      </c>
      <c r="B719" t="s">
        <v>825</v>
      </c>
      <c r="C719" t="s">
        <v>1116</v>
      </c>
      <c r="D719" t="s">
        <v>1127</v>
      </c>
      <c r="E719">
        <v>62.15</v>
      </c>
      <c r="F719">
        <v>829000</v>
      </c>
      <c r="G719" t="s">
        <v>1128</v>
      </c>
      <c r="H719" t="s">
        <v>1133</v>
      </c>
    </row>
    <row r="720" spans="1:8" x14ac:dyDescent="0.25">
      <c r="A720" t="s">
        <v>35</v>
      </c>
      <c r="B720" t="s">
        <v>826</v>
      </c>
      <c r="C720" t="s">
        <v>1113</v>
      </c>
      <c r="D720" t="s">
        <v>1120</v>
      </c>
      <c r="E720">
        <v>56.16</v>
      </c>
      <c r="F720">
        <v>384505</v>
      </c>
      <c r="G720" t="s">
        <v>1132</v>
      </c>
      <c r="H720" t="s">
        <v>1133</v>
      </c>
    </row>
    <row r="721" spans="1:8" x14ac:dyDescent="0.25">
      <c r="A721" t="s">
        <v>34</v>
      </c>
      <c r="B721" t="s">
        <v>827</v>
      </c>
      <c r="C721" t="s">
        <v>1109</v>
      </c>
      <c r="D721" t="s">
        <v>1119</v>
      </c>
      <c r="E721">
        <v>38.29</v>
      </c>
      <c r="F721">
        <v>470034</v>
      </c>
      <c r="G721" t="s">
        <v>1132</v>
      </c>
      <c r="H721" t="s">
        <v>1134</v>
      </c>
    </row>
    <row r="722" spans="1:8" x14ac:dyDescent="0.25">
      <c r="A722" t="s">
        <v>35</v>
      </c>
      <c r="B722" t="s">
        <v>828</v>
      </c>
      <c r="C722" t="s">
        <v>1115</v>
      </c>
      <c r="D722" t="s">
        <v>1119</v>
      </c>
      <c r="E722">
        <v>39.6</v>
      </c>
      <c r="F722">
        <v>110394</v>
      </c>
      <c r="G722" t="s">
        <v>1130</v>
      </c>
      <c r="H722" t="s">
        <v>1133</v>
      </c>
    </row>
    <row r="723" spans="1:8" x14ac:dyDescent="0.25">
      <c r="A723" t="s">
        <v>24</v>
      </c>
      <c r="B723" t="s">
        <v>829</v>
      </c>
      <c r="C723" t="s">
        <v>1111</v>
      </c>
      <c r="D723" t="s">
        <v>1126</v>
      </c>
      <c r="E723">
        <v>39.549999999999997</v>
      </c>
      <c r="F723">
        <v>585452</v>
      </c>
      <c r="G723" t="s">
        <v>1131</v>
      </c>
      <c r="H723" t="s">
        <v>1133</v>
      </c>
    </row>
    <row r="724" spans="1:8" x14ac:dyDescent="0.25">
      <c r="A724" t="s">
        <v>58</v>
      </c>
      <c r="B724" t="s">
        <v>830</v>
      </c>
      <c r="C724" t="s">
        <v>1116</v>
      </c>
      <c r="D724" t="s">
        <v>1124</v>
      </c>
      <c r="E724">
        <v>65.900000000000006</v>
      </c>
      <c r="F724">
        <v>159094</v>
      </c>
      <c r="G724" t="s">
        <v>1130</v>
      </c>
      <c r="H724" t="s">
        <v>1133</v>
      </c>
    </row>
    <row r="725" spans="1:8" x14ac:dyDescent="0.25">
      <c r="A725" t="s">
        <v>96</v>
      </c>
      <c r="B725" t="s">
        <v>831</v>
      </c>
      <c r="C725" t="s">
        <v>1109</v>
      </c>
      <c r="D725" t="s">
        <v>1119</v>
      </c>
      <c r="E725">
        <v>70.86</v>
      </c>
      <c r="F725">
        <v>471380</v>
      </c>
      <c r="G725" t="s">
        <v>1130</v>
      </c>
      <c r="H725" t="s">
        <v>1133</v>
      </c>
    </row>
    <row r="726" spans="1:8" x14ac:dyDescent="0.25">
      <c r="A726" t="s">
        <v>29</v>
      </c>
      <c r="B726" t="s">
        <v>832</v>
      </c>
      <c r="C726" t="s">
        <v>1113</v>
      </c>
      <c r="D726" t="s">
        <v>1120</v>
      </c>
      <c r="E726">
        <v>96.52</v>
      </c>
      <c r="F726">
        <v>144617</v>
      </c>
      <c r="G726" t="s">
        <v>1130</v>
      </c>
      <c r="H726" t="s">
        <v>1133</v>
      </c>
    </row>
    <row r="727" spans="1:8" x14ac:dyDescent="0.25">
      <c r="A727" t="s">
        <v>105</v>
      </c>
      <c r="B727" t="s">
        <v>833</v>
      </c>
      <c r="C727" t="s">
        <v>1111</v>
      </c>
      <c r="D727" t="s">
        <v>1127</v>
      </c>
      <c r="E727">
        <v>98.71</v>
      </c>
      <c r="F727">
        <v>394084</v>
      </c>
      <c r="G727" t="s">
        <v>1131</v>
      </c>
      <c r="H727" t="s">
        <v>1133</v>
      </c>
    </row>
    <row r="728" spans="1:8" x14ac:dyDescent="0.25">
      <c r="A728" t="s">
        <v>107</v>
      </c>
      <c r="B728" t="s">
        <v>834</v>
      </c>
      <c r="C728" t="s">
        <v>1117</v>
      </c>
      <c r="D728" t="s">
        <v>1122</v>
      </c>
      <c r="E728">
        <v>51.98</v>
      </c>
      <c r="F728">
        <v>998507</v>
      </c>
      <c r="G728" t="s">
        <v>1131</v>
      </c>
      <c r="H728" t="s">
        <v>1133</v>
      </c>
    </row>
    <row r="729" spans="1:8" x14ac:dyDescent="0.25">
      <c r="A729" t="s">
        <v>77</v>
      </c>
      <c r="B729" t="s">
        <v>835</v>
      </c>
      <c r="C729" t="s">
        <v>1117</v>
      </c>
      <c r="D729" t="s">
        <v>1119</v>
      </c>
      <c r="E729">
        <v>67.62</v>
      </c>
      <c r="F729">
        <v>612945</v>
      </c>
      <c r="G729" t="s">
        <v>1131</v>
      </c>
      <c r="H729" t="s">
        <v>1134</v>
      </c>
    </row>
    <row r="730" spans="1:8" x14ac:dyDescent="0.25">
      <c r="A730" t="s">
        <v>86</v>
      </c>
      <c r="B730" t="s">
        <v>836</v>
      </c>
      <c r="C730" t="s">
        <v>1113</v>
      </c>
      <c r="D730" t="s">
        <v>1124</v>
      </c>
      <c r="E730">
        <v>90.59</v>
      </c>
      <c r="F730">
        <v>939008</v>
      </c>
      <c r="G730" t="s">
        <v>1129</v>
      </c>
      <c r="H730" t="s">
        <v>1133</v>
      </c>
    </row>
    <row r="731" spans="1:8" x14ac:dyDescent="0.25">
      <c r="A731" t="s">
        <v>58</v>
      </c>
      <c r="B731" t="s">
        <v>837</v>
      </c>
      <c r="C731" t="s">
        <v>1108</v>
      </c>
      <c r="D731" t="s">
        <v>1119</v>
      </c>
      <c r="E731">
        <v>71.430000000000007</v>
      </c>
      <c r="F731">
        <v>675619</v>
      </c>
      <c r="G731" t="s">
        <v>1131</v>
      </c>
      <c r="H731" t="s">
        <v>1133</v>
      </c>
    </row>
    <row r="732" spans="1:8" x14ac:dyDescent="0.25">
      <c r="A732" t="s">
        <v>67</v>
      </c>
      <c r="B732" t="s">
        <v>838</v>
      </c>
      <c r="C732" t="s">
        <v>1113</v>
      </c>
      <c r="D732" t="s">
        <v>1125</v>
      </c>
      <c r="E732">
        <v>64.790000000000006</v>
      </c>
      <c r="F732">
        <v>572582</v>
      </c>
      <c r="G732" t="s">
        <v>1132</v>
      </c>
      <c r="H732" t="s">
        <v>1133</v>
      </c>
    </row>
    <row r="733" spans="1:8" x14ac:dyDescent="0.25">
      <c r="A733" t="s">
        <v>26</v>
      </c>
      <c r="B733" t="s">
        <v>839</v>
      </c>
      <c r="C733" t="s">
        <v>1116</v>
      </c>
      <c r="D733" t="s">
        <v>1119</v>
      </c>
      <c r="E733">
        <v>99.86</v>
      </c>
      <c r="F733">
        <v>354332</v>
      </c>
      <c r="G733" t="s">
        <v>1130</v>
      </c>
      <c r="H733" t="s">
        <v>1133</v>
      </c>
    </row>
    <row r="734" spans="1:8" x14ac:dyDescent="0.25">
      <c r="A734" t="s">
        <v>105</v>
      </c>
      <c r="B734" t="s">
        <v>840</v>
      </c>
      <c r="C734" t="s">
        <v>1109</v>
      </c>
      <c r="D734" t="s">
        <v>1118</v>
      </c>
      <c r="E734">
        <v>49.63</v>
      </c>
      <c r="F734">
        <v>126750</v>
      </c>
      <c r="G734" t="s">
        <v>1132</v>
      </c>
      <c r="H734" t="s">
        <v>1133</v>
      </c>
    </row>
    <row r="735" spans="1:8" x14ac:dyDescent="0.25">
      <c r="A735" t="s">
        <v>9</v>
      </c>
      <c r="B735" t="s">
        <v>841</v>
      </c>
      <c r="C735" t="s">
        <v>1113</v>
      </c>
      <c r="D735" t="s">
        <v>1126</v>
      </c>
      <c r="E735">
        <v>45.55</v>
      </c>
      <c r="F735">
        <v>682353</v>
      </c>
      <c r="G735" t="s">
        <v>1128</v>
      </c>
      <c r="H735" t="s">
        <v>1133</v>
      </c>
    </row>
    <row r="736" spans="1:8" x14ac:dyDescent="0.25">
      <c r="A736" t="s">
        <v>8</v>
      </c>
      <c r="B736" t="s">
        <v>842</v>
      </c>
      <c r="C736" t="s">
        <v>1112</v>
      </c>
      <c r="D736" t="s">
        <v>1122</v>
      </c>
      <c r="E736">
        <v>47.02</v>
      </c>
      <c r="F736">
        <v>738803</v>
      </c>
      <c r="G736" t="s">
        <v>1132</v>
      </c>
      <c r="H736" t="s">
        <v>1134</v>
      </c>
    </row>
    <row r="737" spans="1:8" x14ac:dyDescent="0.25">
      <c r="A737" t="s">
        <v>33</v>
      </c>
      <c r="B737" t="s">
        <v>843</v>
      </c>
      <c r="C737" t="s">
        <v>1108</v>
      </c>
      <c r="D737" t="s">
        <v>1125</v>
      </c>
      <c r="E737">
        <v>69.33</v>
      </c>
      <c r="F737">
        <v>678898</v>
      </c>
      <c r="G737" t="s">
        <v>1132</v>
      </c>
      <c r="H737" t="s">
        <v>1134</v>
      </c>
    </row>
    <row r="738" spans="1:8" x14ac:dyDescent="0.25">
      <c r="A738" t="s">
        <v>32</v>
      </c>
      <c r="B738" t="s">
        <v>844</v>
      </c>
      <c r="C738" t="s">
        <v>1116</v>
      </c>
      <c r="D738" t="s">
        <v>1120</v>
      </c>
      <c r="E738">
        <v>98.51</v>
      </c>
      <c r="F738">
        <v>321598</v>
      </c>
      <c r="G738" t="s">
        <v>1130</v>
      </c>
      <c r="H738" t="s">
        <v>1134</v>
      </c>
    </row>
    <row r="739" spans="1:8" x14ac:dyDescent="0.25">
      <c r="A739" t="s">
        <v>98</v>
      </c>
      <c r="B739" t="s">
        <v>845</v>
      </c>
      <c r="C739" t="s">
        <v>1113</v>
      </c>
      <c r="D739" t="s">
        <v>1123</v>
      </c>
      <c r="E739">
        <v>87.71</v>
      </c>
      <c r="F739">
        <v>352518</v>
      </c>
      <c r="G739" t="s">
        <v>1132</v>
      </c>
      <c r="H739" t="s">
        <v>1133</v>
      </c>
    </row>
    <row r="740" spans="1:8" x14ac:dyDescent="0.25">
      <c r="A740" t="s">
        <v>77</v>
      </c>
      <c r="B740" t="s">
        <v>846</v>
      </c>
      <c r="C740" t="s">
        <v>1113</v>
      </c>
      <c r="D740" t="s">
        <v>1124</v>
      </c>
      <c r="E740">
        <v>60.11</v>
      </c>
      <c r="F740">
        <v>711068</v>
      </c>
      <c r="G740" t="s">
        <v>1132</v>
      </c>
      <c r="H740" t="s">
        <v>1134</v>
      </c>
    </row>
    <row r="741" spans="1:8" x14ac:dyDescent="0.25">
      <c r="A741" t="s">
        <v>82</v>
      </c>
      <c r="B741" t="s">
        <v>847</v>
      </c>
      <c r="C741" t="s">
        <v>1116</v>
      </c>
      <c r="D741" t="s">
        <v>1123</v>
      </c>
      <c r="E741">
        <v>50.36</v>
      </c>
      <c r="F741">
        <v>984138</v>
      </c>
      <c r="G741" t="s">
        <v>1129</v>
      </c>
      <c r="H741" t="s">
        <v>1133</v>
      </c>
    </row>
    <row r="742" spans="1:8" x14ac:dyDescent="0.25">
      <c r="A742" t="s">
        <v>22</v>
      </c>
      <c r="B742" t="s">
        <v>848</v>
      </c>
      <c r="C742" t="s">
        <v>1115</v>
      </c>
      <c r="D742" t="s">
        <v>1124</v>
      </c>
      <c r="E742">
        <v>88.78</v>
      </c>
      <c r="F742">
        <v>137098</v>
      </c>
      <c r="G742" t="s">
        <v>1130</v>
      </c>
      <c r="H742" t="s">
        <v>1134</v>
      </c>
    </row>
    <row r="743" spans="1:8" x14ac:dyDescent="0.25">
      <c r="A743" t="s">
        <v>27</v>
      </c>
      <c r="B743" t="s">
        <v>849</v>
      </c>
      <c r="C743" t="s">
        <v>1116</v>
      </c>
      <c r="D743" t="s">
        <v>1121</v>
      </c>
      <c r="E743">
        <v>52.07</v>
      </c>
      <c r="F743">
        <v>953997</v>
      </c>
      <c r="G743" t="s">
        <v>1132</v>
      </c>
      <c r="H743" t="s">
        <v>1133</v>
      </c>
    </row>
    <row r="744" spans="1:8" x14ac:dyDescent="0.25">
      <c r="A744" t="s">
        <v>60</v>
      </c>
      <c r="B744" t="s">
        <v>850</v>
      </c>
      <c r="C744" t="s">
        <v>1110</v>
      </c>
      <c r="D744" t="s">
        <v>1123</v>
      </c>
      <c r="E744">
        <v>67.599999999999994</v>
      </c>
      <c r="F744">
        <v>386464</v>
      </c>
      <c r="G744" t="s">
        <v>1129</v>
      </c>
      <c r="H744" t="s">
        <v>1133</v>
      </c>
    </row>
    <row r="745" spans="1:8" x14ac:dyDescent="0.25">
      <c r="A745" t="s">
        <v>11</v>
      </c>
      <c r="B745" t="s">
        <v>851</v>
      </c>
      <c r="C745" t="s">
        <v>1117</v>
      </c>
      <c r="D745" t="s">
        <v>1124</v>
      </c>
      <c r="E745">
        <v>53.95</v>
      </c>
      <c r="F745">
        <v>593940</v>
      </c>
      <c r="G745" t="s">
        <v>1130</v>
      </c>
      <c r="H745" t="s">
        <v>1133</v>
      </c>
    </row>
    <row r="746" spans="1:8" x14ac:dyDescent="0.25">
      <c r="A746" t="s">
        <v>77</v>
      </c>
      <c r="B746" t="s">
        <v>852</v>
      </c>
      <c r="C746" t="s">
        <v>1117</v>
      </c>
      <c r="D746" t="s">
        <v>1126</v>
      </c>
      <c r="E746">
        <v>76.08</v>
      </c>
      <c r="F746">
        <v>541177</v>
      </c>
      <c r="G746" t="s">
        <v>1130</v>
      </c>
      <c r="H746" t="s">
        <v>1133</v>
      </c>
    </row>
    <row r="747" spans="1:8" x14ac:dyDescent="0.25">
      <c r="A747" t="s">
        <v>33</v>
      </c>
      <c r="B747" t="s">
        <v>853</v>
      </c>
      <c r="C747" t="s">
        <v>1111</v>
      </c>
      <c r="D747" t="s">
        <v>1121</v>
      </c>
      <c r="E747">
        <v>63.22</v>
      </c>
      <c r="F747">
        <v>158477</v>
      </c>
      <c r="G747" t="s">
        <v>1131</v>
      </c>
      <c r="H747" t="s">
        <v>1133</v>
      </c>
    </row>
    <row r="748" spans="1:8" x14ac:dyDescent="0.25">
      <c r="A748" t="s">
        <v>62</v>
      </c>
      <c r="B748" t="s">
        <v>854</v>
      </c>
      <c r="C748" t="s">
        <v>1110</v>
      </c>
      <c r="D748" t="s">
        <v>1121</v>
      </c>
      <c r="E748">
        <v>84.36</v>
      </c>
      <c r="F748">
        <v>520101</v>
      </c>
      <c r="G748" t="s">
        <v>1131</v>
      </c>
      <c r="H748" t="s">
        <v>1133</v>
      </c>
    </row>
    <row r="749" spans="1:8" x14ac:dyDescent="0.25">
      <c r="A749" t="s">
        <v>89</v>
      </c>
      <c r="B749" t="s">
        <v>855</v>
      </c>
      <c r="C749" t="s">
        <v>1115</v>
      </c>
      <c r="D749" t="s">
        <v>1123</v>
      </c>
      <c r="E749">
        <v>37.78</v>
      </c>
      <c r="F749">
        <v>737829</v>
      </c>
      <c r="G749" t="s">
        <v>1129</v>
      </c>
      <c r="H749" t="s">
        <v>1133</v>
      </c>
    </row>
    <row r="750" spans="1:8" x14ac:dyDescent="0.25">
      <c r="A750" t="s">
        <v>23</v>
      </c>
      <c r="B750" t="s">
        <v>856</v>
      </c>
      <c r="C750" t="s">
        <v>1108</v>
      </c>
      <c r="D750" t="s">
        <v>1127</v>
      </c>
      <c r="E750">
        <v>36.64</v>
      </c>
      <c r="F750">
        <v>204251</v>
      </c>
      <c r="G750" t="s">
        <v>1131</v>
      </c>
      <c r="H750" t="s">
        <v>1133</v>
      </c>
    </row>
    <row r="751" spans="1:8" x14ac:dyDescent="0.25">
      <c r="A751" t="s">
        <v>62</v>
      </c>
      <c r="B751" t="s">
        <v>857</v>
      </c>
      <c r="C751" t="s">
        <v>1117</v>
      </c>
      <c r="D751" t="s">
        <v>1120</v>
      </c>
      <c r="E751">
        <v>47.28</v>
      </c>
      <c r="F751">
        <v>949442</v>
      </c>
      <c r="G751" t="s">
        <v>1131</v>
      </c>
      <c r="H751" t="s">
        <v>1133</v>
      </c>
    </row>
    <row r="752" spans="1:8" x14ac:dyDescent="0.25">
      <c r="A752" t="s">
        <v>57</v>
      </c>
      <c r="B752" t="s">
        <v>858</v>
      </c>
      <c r="C752" t="s">
        <v>1113</v>
      </c>
      <c r="D752" t="s">
        <v>1118</v>
      </c>
      <c r="E752">
        <v>76.41</v>
      </c>
      <c r="F752">
        <v>896925</v>
      </c>
      <c r="G752" t="s">
        <v>1128</v>
      </c>
      <c r="H752" t="s">
        <v>1134</v>
      </c>
    </row>
    <row r="753" spans="1:8" x14ac:dyDescent="0.25">
      <c r="A753" t="s">
        <v>14</v>
      </c>
      <c r="B753" t="s">
        <v>859</v>
      </c>
      <c r="C753" t="s">
        <v>1109</v>
      </c>
      <c r="D753" t="s">
        <v>1124</v>
      </c>
      <c r="E753">
        <v>61.34</v>
      </c>
      <c r="F753">
        <v>403044</v>
      </c>
      <c r="G753" t="s">
        <v>1129</v>
      </c>
      <c r="H753" t="s">
        <v>1133</v>
      </c>
    </row>
    <row r="754" spans="1:8" x14ac:dyDescent="0.25">
      <c r="A754" t="s">
        <v>92</v>
      </c>
      <c r="B754" t="s">
        <v>860</v>
      </c>
      <c r="C754" t="s">
        <v>1116</v>
      </c>
      <c r="D754" t="s">
        <v>1118</v>
      </c>
      <c r="E754">
        <v>56.41</v>
      </c>
      <c r="F754">
        <v>858252</v>
      </c>
      <c r="G754" t="s">
        <v>1129</v>
      </c>
      <c r="H754" t="s">
        <v>1133</v>
      </c>
    </row>
    <row r="755" spans="1:8" x14ac:dyDescent="0.25">
      <c r="A755" t="s">
        <v>33</v>
      </c>
      <c r="B755" t="s">
        <v>861</v>
      </c>
      <c r="C755" t="s">
        <v>1109</v>
      </c>
      <c r="D755" t="s">
        <v>1125</v>
      </c>
      <c r="E755">
        <v>78.02</v>
      </c>
      <c r="F755">
        <v>395224</v>
      </c>
      <c r="G755" t="s">
        <v>1130</v>
      </c>
      <c r="H755" t="s">
        <v>1134</v>
      </c>
    </row>
    <row r="756" spans="1:8" x14ac:dyDescent="0.25">
      <c r="A756" t="s">
        <v>20</v>
      </c>
      <c r="B756" t="s">
        <v>862</v>
      </c>
      <c r="C756" t="s">
        <v>1111</v>
      </c>
      <c r="D756" t="s">
        <v>1125</v>
      </c>
      <c r="E756">
        <v>99.65</v>
      </c>
      <c r="F756">
        <v>631828</v>
      </c>
      <c r="G756" t="s">
        <v>1131</v>
      </c>
      <c r="H756" t="s">
        <v>1134</v>
      </c>
    </row>
    <row r="757" spans="1:8" x14ac:dyDescent="0.25">
      <c r="A757" t="s">
        <v>13</v>
      </c>
      <c r="B757" t="s">
        <v>863</v>
      </c>
      <c r="C757" t="s">
        <v>1110</v>
      </c>
      <c r="D757" t="s">
        <v>1126</v>
      </c>
      <c r="E757">
        <v>97.44</v>
      </c>
      <c r="F757">
        <v>637665</v>
      </c>
      <c r="G757" t="s">
        <v>1131</v>
      </c>
      <c r="H757" t="s">
        <v>1134</v>
      </c>
    </row>
    <row r="758" spans="1:8" x14ac:dyDescent="0.25">
      <c r="A758" t="s">
        <v>84</v>
      </c>
      <c r="B758" t="s">
        <v>864</v>
      </c>
      <c r="C758" t="s">
        <v>1114</v>
      </c>
      <c r="D758" t="s">
        <v>1125</v>
      </c>
      <c r="E758">
        <v>82.87</v>
      </c>
      <c r="F758">
        <v>883100</v>
      </c>
      <c r="G758" t="s">
        <v>1129</v>
      </c>
      <c r="H758" t="s">
        <v>1133</v>
      </c>
    </row>
    <row r="759" spans="1:8" x14ac:dyDescent="0.25">
      <c r="A759" t="s">
        <v>104</v>
      </c>
      <c r="B759" t="s">
        <v>865</v>
      </c>
      <c r="C759" t="s">
        <v>1115</v>
      </c>
      <c r="D759" t="s">
        <v>1123</v>
      </c>
      <c r="E759">
        <v>48.5</v>
      </c>
      <c r="F759">
        <v>787802</v>
      </c>
      <c r="G759" t="s">
        <v>1128</v>
      </c>
      <c r="H759" t="s">
        <v>1133</v>
      </c>
    </row>
    <row r="760" spans="1:8" x14ac:dyDescent="0.25">
      <c r="A760" t="s">
        <v>11</v>
      </c>
      <c r="B760" t="s">
        <v>866</v>
      </c>
      <c r="C760" t="s">
        <v>1116</v>
      </c>
      <c r="D760" t="s">
        <v>1125</v>
      </c>
      <c r="E760">
        <v>82.17</v>
      </c>
      <c r="F760">
        <v>779948</v>
      </c>
      <c r="G760" t="s">
        <v>1130</v>
      </c>
      <c r="H760" t="s">
        <v>1134</v>
      </c>
    </row>
    <row r="761" spans="1:8" x14ac:dyDescent="0.25">
      <c r="A761" t="s">
        <v>100</v>
      </c>
      <c r="B761" t="s">
        <v>867</v>
      </c>
      <c r="C761" t="s">
        <v>1114</v>
      </c>
      <c r="D761" t="s">
        <v>1123</v>
      </c>
      <c r="E761">
        <v>92.39</v>
      </c>
      <c r="F761">
        <v>851564</v>
      </c>
      <c r="G761" t="s">
        <v>1128</v>
      </c>
      <c r="H761" t="s">
        <v>1134</v>
      </c>
    </row>
    <row r="762" spans="1:8" x14ac:dyDescent="0.25">
      <c r="A762" t="s">
        <v>20</v>
      </c>
      <c r="B762" t="s">
        <v>868</v>
      </c>
      <c r="C762" t="s">
        <v>1116</v>
      </c>
      <c r="D762" t="s">
        <v>1122</v>
      </c>
      <c r="E762">
        <v>76.53</v>
      </c>
      <c r="F762">
        <v>822614</v>
      </c>
      <c r="G762" t="s">
        <v>1131</v>
      </c>
      <c r="H762" t="s">
        <v>1134</v>
      </c>
    </row>
    <row r="763" spans="1:8" x14ac:dyDescent="0.25">
      <c r="A763" t="s">
        <v>27</v>
      </c>
      <c r="B763" t="s">
        <v>869</v>
      </c>
      <c r="C763" t="s">
        <v>1111</v>
      </c>
      <c r="D763" t="s">
        <v>1120</v>
      </c>
      <c r="E763">
        <v>50.72</v>
      </c>
      <c r="F763">
        <v>744542</v>
      </c>
      <c r="G763" t="s">
        <v>1129</v>
      </c>
      <c r="H763" t="s">
        <v>1133</v>
      </c>
    </row>
    <row r="764" spans="1:8" x14ac:dyDescent="0.25">
      <c r="A764" t="s">
        <v>66</v>
      </c>
      <c r="B764" t="s">
        <v>870</v>
      </c>
      <c r="C764" t="s">
        <v>1114</v>
      </c>
      <c r="D764" t="s">
        <v>1125</v>
      </c>
      <c r="E764">
        <v>48.57</v>
      </c>
      <c r="F764">
        <v>804800</v>
      </c>
      <c r="G764" t="s">
        <v>1131</v>
      </c>
      <c r="H764" t="s">
        <v>1133</v>
      </c>
    </row>
    <row r="765" spans="1:8" x14ac:dyDescent="0.25">
      <c r="A765" t="s">
        <v>69</v>
      </c>
      <c r="B765" t="s">
        <v>871</v>
      </c>
      <c r="C765" t="s">
        <v>1117</v>
      </c>
      <c r="D765" t="s">
        <v>1125</v>
      </c>
      <c r="E765">
        <v>58.76</v>
      </c>
      <c r="F765">
        <v>365051</v>
      </c>
      <c r="G765" t="s">
        <v>1129</v>
      </c>
      <c r="H765" t="s">
        <v>1133</v>
      </c>
    </row>
    <row r="766" spans="1:8" x14ac:dyDescent="0.25">
      <c r="A766" t="s">
        <v>28</v>
      </c>
      <c r="B766" t="s">
        <v>872</v>
      </c>
      <c r="C766" t="s">
        <v>1114</v>
      </c>
      <c r="D766" t="s">
        <v>1123</v>
      </c>
      <c r="E766">
        <v>64.95</v>
      </c>
      <c r="F766">
        <v>732553</v>
      </c>
      <c r="G766" t="s">
        <v>1129</v>
      </c>
      <c r="H766" t="s">
        <v>1134</v>
      </c>
    </row>
    <row r="767" spans="1:8" x14ac:dyDescent="0.25">
      <c r="A767" t="s">
        <v>15</v>
      </c>
      <c r="B767" t="s">
        <v>873</v>
      </c>
      <c r="C767" t="s">
        <v>1110</v>
      </c>
      <c r="D767" t="s">
        <v>1120</v>
      </c>
      <c r="E767">
        <v>63.64</v>
      </c>
      <c r="F767">
        <v>909452</v>
      </c>
      <c r="G767" t="s">
        <v>1129</v>
      </c>
      <c r="H767" t="s">
        <v>1133</v>
      </c>
    </row>
    <row r="768" spans="1:8" x14ac:dyDescent="0.25">
      <c r="A768" t="s">
        <v>11</v>
      </c>
      <c r="B768" t="s">
        <v>874</v>
      </c>
      <c r="C768" t="s">
        <v>1112</v>
      </c>
      <c r="D768" t="s">
        <v>1123</v>
      </c>
      <c r="E768">
        <v>50.06</v>
      </c>
      <c r="F768">
        <v>808536</v>
      </c>
      <c r="G768" t="s">
        <v>1128</v>
      </c>
      <c r="H768" t="s">
        <v>1133</v>
      </c>
    </row>
    <row r="769" spans="1:8" x14ac:dyDescent="0.25">
      <c r="A769" t="s">
        <v>57</v>
      </c>
      <c r="B769" t="s">
        <v>875</v>
      </c>
      <c r="C769" t="s">
        <v>1113</v>
      </c>
      <c r="D769" t="s">
        <v>1120</v>
      </c>
      <c r="E769">
        <v>87.32</v>
      </c>
      <c r="F769">
        <v>901635</v>
      </c>
      <c r="G769" t="s">
        <v>1130</v>
      </c>
      <c r="H769" t="s">
        <v>1133</v>
      </c>
    </row>
    <row r="770" spans="1:8" x14ac:dyDescent="0.25">
      <c r="A770" t="s">
        <v>62</v>
      </c>
      <c r="B770" t="s">
        <v>876</v>
      </c>
      <c r="C770" t="s">
        <v>1115</v>
      </c>
      <c r="D770" t="s">
        <v>1124</v>
      </c>
      <c r="E770">
        <v>37.409999999999997</v>
      </c>
      <c r="F770">
        <v>243762</v>
      </c>
      <c r="G770" t="s">
        <v>1130</v>
      </c>
      <c r="H770" t="s">
        <v>1133</v>
      </c>
    </row>
    <row r="771" spans="1:8" x14ac:dyDescent="0.25">
      <c r="A771" t="s">
        <v>27</v>
      </c>
      <c r="B771" t="s">
        <v>877</v>
      </c>
      <c r="C771" t="s">
        <v>1116</v>
      </c>
      <c r="D771" t="s">
        <v>1125</v>
      </c>
      <c r="E771">
        <v>98.22</v>
      </c>
      <c r="F771">
        <v>918947</v>
      </c>
      <c r="G771" t="s">
        <v>1131</v>
      </c>
      <c r="H771" t="s">
        <v>1133</v>
      </c>
    </row>
    <row r="772" spans="1:8" x14ac:dyDescent="0.25">
      <c r="A772" t="s">
        <v>60</v>
      </c>
      <c r="B772" t="s">
        <v>878</v>
      </c>
      <c r="C772" t="s">
        <v>1109</v>
      </c>
      <c r="D772" t="s">
        <v>1121</v>
      </c>
      <c r="E772">
        <v>68.11</v>
      </c>
      <c r="F772">
        <v>895310</v>
      </c>
      <c r="G772" t="s">
        <v>1131</v>
      </c>
      <c r="H772" t="s">
        <v>1133</v>
      </c>
    </row>
    <row r="773" spans="1:8" x14ac:dyDescent="0.25">
      <c r="A773" t="s">
        <v>82</v>
      </c>
      <c r="B773" t="s">
        <v>879</v>
      </c>
      <c r="C773" t="s">
        <v>1117</v>
      </c>
      <c r="D773" t="s">
        <v>1119</v>
      </c>
      <c r="E773">
        <v>65.28</v>
      </c>
      <c r="F773">
        <v>752618</v>
      </c>
      <c r="G773" t="s">
        <v>1129</v>
      </c>
      <c r="H773" t="s">
        <v>1134</v>
      </c>
    </row>
    <row r="774" spans="1:8" x14ac:dyDescent="0.25">
      <c r="A774" t="s">
        <v>35</v>
      </c>
      <c r="B774" t="s">
        <v>880</v>
      </c>
      <c r="C774" t="s">
        <v>1108</v>
      </c>
      <c r="D774" t="s">
        <v>1123</v>
      </c>
      <c r="E774">
        <v>53.34</v>
      </c>
      <c r="F774">
        <v>888534</v>
      </c>
      <c r="G774" t="s">
        <v>1130</v>
      </c>
      <c r="H774" t="s">
        <v>1134</v>
      </c>
    </row>
    <row r="775" spans="1:8" x14ac:dyDescent="0.25">
      <c r="A775" t="s">
        <v>94</v>
      </c>
      <c r="B775" t="s">
        <v>881</v>
      </c>
      <c r="C775" t="s">
        <v>1117</v>
      </c>
      <c r="D775" t="s">
        <v>1124</v>
      </c>
      <c r="E775">
        <v>87.83</v>
      </c>
      <c r="F775">
        <v>951612</v>
      </c>
      <c r="G775" t="s">
        <v>1129</v>
      </c>
      <c r="H775" t="s">
        <v>1133</v>
      </c>
    </row>
    <row r="776" spans="1:8" x14ac:dyDescent="0.25">
      <c r="A776" t="s">
        <v>93</v>
      </c>
      <c r="B776" t="s">
        <v>882</v>
      </c>
      <c r="C776" t="s">
        <v>1117</v>
      </c>
      <c r="D776" t="s">
        <v>1126</v>
      </c>
      <c r="E776">
        <v>84.45</v>
      </c>
      <c r="F776">
        <v>575828</v>
      </c>
      <c r="G776" t="s">
        <v>1131</v>
      </c>
      <c r="H776" t="s">
        <v>1133</v>
      </c>
    </row>
    <row r="777" spans="1:8" x14ac:dyDescent="0.25">
      <c r="A777" t="s">
        <v>81</v>
      </c>
      <c r="B777" t="s">
        <v>883</v>
      </c>
      <c r="C777" t="s">
        <v>1115</v>
      </c>
      <c r="D777" t="s">
        <v>1127</v>
      </c>
      <c r="E777">
        <v>80.989999999999995</v>
      </c>
      <c r="F777">
        <v>748275</v>
      </c>
      <c r="G777" t="s">
        <v>1130</v>
      </c>
      <c r="H777" t="s">
        <v>1134</v>
      </c>
    </row>
    <row r="778" spans="1:8" x14ac:dyDescent="0.25">
      <c r="A778" t="s">
        <v>34</v>
      </c>
      <c r="B778" t="s">
        <v>884</v>
      </c>
      <c r="C778" t="s">
        <v>1110</v>
      </c>
      <c r="D778" t="s">
        <v>1118</v>
      </c>
      <c r="E778">
        <v>46.25</v>
      </c>
      <c r="F778">
        <v>864002</v>
      </c>
      <c r="G778" t="s">
        <v>1132</v>
      </c>
      <c r="H778" t="s">
        <v>1133</v>
      </c>
    </row>
    <row r="779" spans="1:8" x14ac:dyDescent="0.25">
      <c r="A779" t="s">
        <v>25</v>
      </c>
      <c r="B779" t="s">
        <v>885</v>
      </c>
      <c r="C779" t="s">
        <v>1115</v>
      </c>
      <c r="D779" t="s">
        <v>1120</v>
      </c>
      <c r="E779">
        <v>66.27</v>
      </c>
      <c r="F779">
        <v>174712</v>
      </c>
      <c r="G779" t="s">
        <v>1130</v>
      </c>
      <c r="H779" t="s">
        <v>1133</v>
      </c>
    </row>
    <row r="780" spans="1:8" x14ac:dyDescent="0.25">
      <c r="A780" t="s">
        <v>25</v>
      </c>
      <c r="B780" t="s">
        <v>886</v>
      </c>
      <c r="C780" t="s">
        <v>1117</v>
      </c>
      <c r="D780" t="s">
        <v>1123</v>
      </c>
      <c r="E780">
        <v>97.08</v>
      </c>
      <c r="F780">
        <v>607895</v>
      </c>
      <c r="G780" t="s">
        <v>1132</v>
      </c>
      <c r="H780" t="s">
        <v>1134</v>
      </c>
    </row>
    <row r="781" spans="1:8" x14ac:dyDescent="0.25">
      <c r="A781" t="s">
        <v>39</v>
      </c>
      <c r="B781" t="s">
        <v>887</v>
      </c>
      <c r="C781" t="s">
        <v>1112</v>
      </c>
      <c r="D781" t="s">
        <v>1126</v>
      </c>
      <c r="E781">
        <v>89.02</v>
      </c>
      <c r="F781">
        <v>667162</v>
      </c>
      <c r="G781" t="s">
        <v>1129</v>
      </c>
      <c r="H781" t="s">
        <v>1133</v>
      </c>
    </row>
    <row r="782" spans="1:8" x14ac:dyDescent="0.25">
      <c r="A782" t="s">
        <v>57</v>
      </c>
      <c r="B782" t="s">
        <v>888</v>
      </c>
      <c r="C782" t="s">
        <v>1116</v>
      </c>
      <c r="D782" t="s">
        <v>1127</v>
      </c>
      <c r="E782">
        <v>74.760000000000005</v>
      </c>
      <c r="F782">
        <v>703983</v>
      </c>
      <c r="G782" t="s">
        <v>1128</v>
      </c>
      <c r="H782" t="s">
        <v>1133</v>
      </c>
    </row>
    <row r="783" spans="1:8" x14ac:dyDescent="0.25">
      <c r="A783" t="s">
        <v>49</v>
      </c>
      <c r="B783" t="s">
        <v>889</v>
      </c>
      <c r="C783" t="s">
        <v>1115</v>
      </c>
      <c r="D783" t="s">
        <v>1122</v>
      </c>
      <c r="E783">
        <v>67.58</v>
      </c>
      <c r="F783">
        <v>609097</v>
      </c>
      <c r="G783" t="s">
        <v>1130</v>
      </c>
      <c r="H783" t="s">
        <v>1133</v>
      </c>
    </row>
    <row r="784" spans="1:8" x14ac:dyDescent="0.25">
      <c r="A784" t="s">
        <v>49</v>
      </c>
      <c r="B784" t="s">
        <v>890</v>
      </c>
      <c r="C784" t="s">
        <v>1115</v>
      </c>
      <c r="D784" t="s">
        <v>1126</v>
      </c>
      <c r="E784">
        <v>90.7</v>
      </c>
      <c r="F784">
        <v>265408</v>
      </c>
      <c r="G784" t="s">
        <v>1129</v>
      </c>
      <c r="H784" t="s">
        <v>1133</v>
      </c>
    </row>
    <row r="785" spans="1:8" x14ac:dyDescent="0.25">
      <c r="A785" t="s">
        <v>77</v>
      </c>
      <c r="B785" t="s">
        <v>891</v>
      </c>
      <c r="C785" t="s">
        <v>1112</v>
      </c>
      <c r="D785" t="s">
        <v>1126</v>
      </c>
      <c r="E785">
        <v>40.96</v>
      </c>
      <c r="F785">
        <v>834495</v>
      </c>
      <c r="G785" t="s">
        <v>1132</v>
      </c>
      <c r="H785" t="s">
        <v>1134</v>
      </c>
    </row>
    <row r="786" spans="1:8" x14ac:dyDescent="0.25">
      <c r="A786" t="s">
        <v>84</v>
      </c>
      <c r="B786" t="s">
        <v>892</v>
      </c>
      <c r="C786" t="s">
        <v>1108</v>
      </c>
      <c r="D786" t="s">
        <v>1126</v>
      </c>
      <c r="E786">
        <v>44.91</v>
      </c>
      <c r="F786">
        <v>363288</v>
      </c>
      <c r="G786" t="s">
        <v>1132</v>
      </c>
      <c r="H786" t="s">
        <v>1133</v>
      </c>
    </row>
    <row r="787" spans="1:8" x14ac:dyDescent="0.25">
      <c r="A787" t="s">
        <v>30</v>
      </c>
      <c r="B787" t="s">
        <v>893</v>
      </c>
      <c r="C787" t="s">
        <v>1109</v>
      </c>
      <c r="D787" t="s">
        <v>1127</v>
      </c>
      <c r="E787">
        <v>38.409999999999997</v>
      </c>
      <c r="F787">
        <v>230176</v>
      </c>
      <c r="G787" t="s">
        <v>1129</v>
      </c>
      <c r="H787" t="s">
        <v>1133</v>
      </c>
    </row>
    <row r="788" spans="1:8" x14ac:dyDescent="0.25">
      <c r="A788" t="s">
        <v>59</v>
      </c>
      <c r="B788" t="s">
        <v>894</v>
      </c>
      <c r="C788" t="s">
        <v>1116</v>
      </c>
      <c r="D788" t="s">
        <v>1121</v>
      </c>
      <c r="E788">
        <v>84.71</v>
      </c>
      <c r="F788">
        <v>255622</v>
      </c>
      <c r="G788" t="s">
        <v>1129</v>
      </c>
      <c r="H788" t="s">
        <v>1134</v>
      </c>
    </row>
    <row r="789" spans="1:8" x14ac:dyDescent="0.25">
      <c r="A789" t="s">
        <v>38</v>
      </c>
      <c r="B789" t="s">
        <v>895</v>
      </c>
      <c r="C789" t="s">
        <v>1111</v>
      </c>
      <c r="D789" t="s">
        <v>1127</v>
      </c>
      <c r="E789">
        <v>68.98</v>
      </c>
      <c r="F789">
        <v>178896</v>
      </c>
      <c r="G789" t="s">
        <v>1132</v>
      </c>
      <c r="H789" t="s">
        <v>1133</v>
      </c>
    </row>
    <row r="790" spans="1:8" x14ac:dyDescent="0.25">
      <c r="A790" t="s">
        <v>34</v>
      </c>
      <c r="B790" t="s">
        <v>896</v>
      </c>
      <c r="C790" t="s">
        <v>1115</v>
      </c>
      <c r="D790" t="s">
        <v>1119</v>
      </c>
      <c r="E790">
        <v>65.08</v>
      </c>
      <c r="F790">
        <v>148568</v>
      </c>
      <c r="G790" t="s">
        <v>1129</v>
      </c>
      <c r="H790" t="s">
        <v>1133</v>
      </c>
    </row>
    <row r="791" spans="1:8" x14ac:dyDescent="0.25">
      <c r="A791" t="s">
        <v>90</v>
      </c>
      <c r="B791" t="s">
        <v>897</v>
      </c>
      <c r="C791" t="s">
        <v>1110</v>
      </c>
      <c r="D791" t="s">
        <v>1120</v>
      </c>
      <c r="E791">
        <v>60.46</v>
      </c>
      <c r="F791">
        <v>231916</v>
      </c>
      <c r="G791" t="s">
        <v>1129</v>
      </c>
      <c r="H791" t="s">
        <v>1133</v>
      </c>
    </row>
    <row r="792" spans="1:8" x14ac:dyDescent="0.25">
      <c r="A792" t="s">
        <v>104</v>
      </c>
      <c r="B792" t="s">
        <v>898</v>
      </c>
      <c r="C792" t="s">
        <v>1112</v>
      </c>
      <c r="D792" t="s">
        <v>1126</v>
      </c>
      <c r="E792">
        <v>66.22</v>
      </c>
      <c r="F792">
        <v>312151</v>
      </c>
      <c r="G792" t="s">
        <v>1132</v>
      </c>
      <c r="H792" t="s">
        <v>1133</v>
      </c>
    </row>
    <row r="793" spans="1:8" x14ac:dyDescent="0.25">
      <c r="A793" t="s">
        <v>90</v>
      </c>
      <c r="B793" t="s">
        <v>899</v>
      </c>
      <c r="C793" t="s">
        <v>1117</v>
      </c>
      <c r="D793" t="s">
        <v>1126</v>
      </c>
      <c r="E793">
        <v>63.59</v>
      </c>
      <c r="F793">
        <v>185815</v>
      </c>
      <c r="G793" t="s">
        <v>1132</v>
      </c>
      <c r="H793" t="s">
        <v>1133</v>
      </c>
    </row>
    <row r="794" spans="1:8" x14ac:dyDescent="0.25">
      <c r="A794" t="s">
        <v>85</v>
      </c>
      <c r="B794" t="s">
        <v>900</v>
      </c>
      <c r="C794" t="s">
        <v>1111</v>
      </c>
      <c r="D794" t="s">
        <v>1118</v>
      </c>
      <c r="E794">
        <v>43.91</v>
      </c>
      <c r="F794">
        <v>408886</v>
      </c>
      <c r="G794" t="s">
        <v>1131</v>
      </c>
      <c r="H794" t="s">
        <v>1133</v>
      </c>
    </row>
    <row r="795" spans="1:8" x14ac:dyDescent="0.25">
      <c r="A795" t="s">
        <v>56</v>
      </c>
      <c r="B795" t="s">
        <v>901</v>
      </c>
      <c r="C795" t="s">
        <v>1115</v>
      </c>
      <c r="D795" t="s">
        <v>1120</v>
      </c>
      <c r="E795">
        <v>41.07</v>
      </c>
      <c r="F795">
        <v>894417</v>
      </c>
      <c r="G795" t="s">
        <v>1132</v>
      </c>
      <c r="H795" t="s">
        <v>1133</v>
      </c>
    </row>
    <row r="796" spans="1:8" x14ac:dyDescent="0.25">
      <c r="A796" t="s">
        <v>70</v>
      </c>
      <c r="B796" t="s">
        <v>902</v>
      </c>
      <c r="C796" t="s">
        <v>1111</v>
      </c>
      <c r="D796" t="s">
        <v>1119</v>
      </c>
      <c r="E796">
        <v>65.95</v>
      </c>
      <c r="F796">
        <v>676420</v>
      </c>
      <c r="G796" t="s">
        <v>1131</v>
      </c>
      <c r="H796" t="s">
        <v>1133</v>
      </c>
    </row>
    <row r="797" spans="1:8" x14ac:dyDescent="0.25">
      <c r="A797" t="s">
        <v>42</v>
      </c>
      <c r="B797" t="s">
        <v>903</v>
      </c>
      <c r="C797" t="s">
        <v>1111</v>
      </c>
      <c r="D797" t="s">
        <v>1124</v>
      </c>
      <c r="E797">
        <v>61.86</v>
      </c>
      <c r="F797">
        <v>876782</v>
      </c>
      <c r="G797" t="s">
        <v>1129</v>
      </c>
      <c r="H797" t="s">
        <v>1133</v>
      </c>
    </row>
    <row r="798" spans="1:8" x14ac:dyDescent="0.25">
      <c r="A798" t="s">
        <v>76</v>
      </c>
      <c r="B798" t="s">
        <v>904</v>
      </c>
      <c r="C798" t="s">
        <v>1111</v>
      </c>
      <c r="D798" t="s">
        <v>1120</v>
      </c>
      <c r="E798">
        <v>63.48</v>
      </c>
      <c r="F798">
        <v>683312</v>
      </c>
      <c r="G798" t="s">
        <v>1130</v>
      </c>
      <c r="H798" t="s">
        <v>1134</v>
      </c>
    </row>
    <row r="799" spans="1:8" x14ac:dyDescent="0.25">
      <c r="A799" t="s">
        <v>74</v>
      </c>
      <c r="B799" t="s">
        <v>905</v>
      </c>
      <c r="C799" t="s">
        <v>1117</v>
      </c>
      <c r="D799" t="s">
        <v>1127</v>
      </c>
      <c r="E799">
        <v>76.09</v>
      </c>
      <c r="F799">
        <v>591583</v>
      </c>
      <c r="G799" t="s">
        <v>1130</v>
      </c>
      <c r="H799" t="s">
        <v>1133</v>
      </c>
    </row>
    <row r="800" spans="1:8" x14ac:dyDescent="0.25">
      <c r="A800" t="s">
        <v>92</v>
      </c>
      <c r="B800" t="s">
        <v>906</v>
      </c>
      <c r="C800" t="s">
        <v>1110</v>
      </c>
      <c r="D800" t="s">
        <v>1125</v>
      </c>
      <c r="E800">
        <v>94.79</v>
      </c>
      <c r="F800">
        <v>652531</v>
      </c>
      <c r="G800" t="s">
        <v>1131</v>
      </c>
      <c r="H800" t="s">
        <v>1133</v>
      </c>
    </row>
    <row r="801" spans="1:8" x14ac:dyDescent="0.25">
      <c r="A801" t="s">
        <v>106</v>
      </c>
      <c r="B801" t="s">
        <v>907</v>
      </c>
      <c r="C801" t="s">
        <v>1115</v>
      </c>
      <c r="D801" t="s">
        <v>1119</v>
      </c>
      <c r="E801">
        <v>64.3</v>
      </c>
      <c r="F801">
        <v>528296</v>
      </c>
      <c r="G801" t="s">
        <v>1129</v>
      </c>
      <c r="H801" t="s">
        <v>1133</v>
      </c>
    </row>
    <row r="802" spans="1:8" x14ac:dyDescent="0.25">
      <c r="A802" t="s">
        <v>70</v>
      </c>
      <c r="B802" t="s">
        <v>908</v>
      </c>
      <c r="C802" t="s">
        <v>1112</v>
      </c>
      <c r="D802" t="s">
        <v>1119</v>
      </c>
      <c r="E802">
        <v>44.77</v>
      </c>
      <c r="F802">
        <v>276007</v>
      </c>
      <c r="G802" t="s">
        <v>1132</v>
      </c>
      <c r="H802" t="s">
        <v>1133</v>
      </c>
    </row>
    <row r="803" spans="1:8" x14ac:dyDescent="0.25">
      <c r="A803" t="s">
        <v>23</v>
      </c>
      <c r="B803" t="s">
        <v>909</v>
      </c>
      <c r="C803" t="s">
        <v>1115</v>
      </c>
      <c r="D803" t="s">
        <v>1122</v>
      </c>
      <c r="E803">
        <v>77.33</v>
      </c>
      <c r="F803">
        <v>403341</v>
      </c>
      <c r="G803" t="s">
        <v>1131</v>
      </c>
      <c r="H803" t="s">
        <v>1133</v>
      </c>
    </row>
    <row r="804" spans="1:8" x14ac:dyDescent="0.25">
      <c r="A804" t="s">
        <v>27</v>
      </c>
      <c r="B804" t="s">
        <v>910</v>
      </c>
      <c r="C804" t="s">
        <v>1108</v>
      </c>
      <c r="D804" t="s">
        <v>1124</v>
      </c>
      <c r="E804">
        <v>62.03</v>
      </c>
      <c r="F804">
        <v>111228</v>
      </c>
      <c r="G804" t="s">
        <v>1128</v>
      </c>
      <c r="H804" t="s">
        <v>1134</v>
      </c>
    </row>
    <row r="805" spans="1:8" x14ac:dyDescent="0.25">
      <c r="A805" t="s">
        <v>83</v>
      </c>
      <c r="B805" t="s">
        <v>911</v>
      </c>
      <c r="C805" t="s">
        <v>1112</v>
      </c>
      <c r="D805" t="s">
        <v>1124</v>
      </c>
      <c r="E805">
        <v>96.08</v>
      </c>
      <c r="F805">
        <v>560932</v>
      </c>
      <c r="G805" t="s">
        <v>1129</v>
      </c>
      <c r="H805" t="s">
        <v>1134</v>
      </c>
    </row>
    <row r="806" spans="1:8" x14ac:dyDescent="0.25">
      <c r="A806" t="s">
        <v>53</v>
      </c>
      <c r="B806" t="s">
        <v>912</v>
      </c>
      <c r="C806" t="s">
        <v>1114</v>
      </c>
      <c r="D806" t="s">
        <v>1118</v>
      </c>
      <c r="E806">
        <v>61.45</v>
      </c>
      <c r="F806">
        <v>707080</v>
      </c>
      <c r="G806" t="s">
        <v>1130</v>
      </c>
      <c r="H806" t="s">
        <v>1133</v>
      </c>
    </row>
    <row r="807" spans="1:8" x14ac:dyDescent="0.25">
      <c r="A807" t="s">
        <v>42</v>
      </c>
      <c r="B807" t="s">
        <v>913</v>
      </c>
      <c r="C807" t="s">
        <v>1113</v>
      </c>
      <c r="D807" t="s">
        <v>1119</v>
      </c>
      <c r="E807">
        <v>42.29</v>
      </c>
      <c r="F807">
        <v>437996</v>
      </c>
      <c r="G807" t="s">
        <v>1132</v>
      </c>
      <c r="H807" t="s">
        <v>1133</v>
      </c>
    </row>
    <row r="808" spans="1:8" x14ac:dyDescent="0.25">
      <c r="A808" t="s">
        <v>45</v>
      </c>
      <c r="B808" t="s">
        <v>914</v>
      </c>
      <c r="C808" t="s">
        <v>1113</v>
      </c>
      <c r="D808" t="s">
        <v>1126</v>
      </c>
      <c r="E808">
        <v>83.99</v>
      </c>
      <c r="F808">
        <v>740547</v>
      </c>
      <c r="G808" t="s">
        <v>1130</v>
      </c>
      <c r="H808" t="s">
        <v>1133</v>
      </c>
    </row>
    <row r="809" spans="1:8" x14ac:dyDescent="0.25">
      <c r="A809" t="s">
        <v>54</v>
      </c>
      <c r="B809" t="s">
        <v>915</v>
      </c>
      <c r="C809" t="s">
        <v>1116</v>
      </c>
      <c r="D809" t="s">
        <v>1125</v>
      </c>
      <c r="E809">
        <v>63.56</v>
      </c>
      <c r="F809">
        <v>328170</v>
      </c>
      <c r="G809" t="s">
        <v>1129</v>
      </c>
      <c r="H809" t="s">
        <v>1134</v>
      </c>
    </row>
    <row r="810" spans="1:8" x14ac:dyDescent="0.25">
      <c r="A810" t="s">
        <v>79</v>
      </c>
      <c r="B810" t="s">
        <v>916</v>
      </c>
      <c r="C810" t="s">
        <v>1113</v>
      </c>
      <c r="D810" t="s">
        <v>1121</v>
      </c>
      <c r="E810">
        <v>83.01</v>
      </c>
      <c r="F810">
        <v>257144</v>
      </c>
      <c r="G810" t="s">
        <v>1129</v>
      </c>
      <c r="H810" t="s">
        <v>1133</v>
      </c>
    </row>
    <row r="811" spans="1:8" x14ac:dyDescent="0.25">
      <c r="A811" t="s">
        <v>20</v>
      </c>
      <c r="B811" t="s">
        <v>917</v>
      </c>
      <c r="C811" t="s">
        <v>1109</v>
      </c>
      <c r="D811" t="s">
        <v>1118</v>
      </c>
      <c r="E811">
        <v>42.93</v>
      </c>
      <c r="F811">
        <v>896150</v>
      </c>
      <c r="G811" t="s">
        <v>1129</v>
      </c>
      <c r="H811" t="s">
        <v>1134</v>
      </c>
    </row>
    <row r="812" spans="1:8" x14ac:dyDescent="0.25">
      <c r="A812" t="s">
        <v>95</v>
      </c>
      <c r="B812" t="s">
        <v>918</v>
      </c>
      <c r="C812" t="s">
        <v>1116</v>
      </c>
      <c r="D812" t="s">
        <v>1124</v>
      </c>
      <c r="E812">
        <v>90.79</v>
      </c>
      <c r="F812">
        <v>312276</v>
      </c>
      <c r="G812" t="s">
        <v>1129</v>
      </c>
      <c r="H812" t="s">
        <v>1133</v>
      </c>
    </row>
    <row r="813" spans="1:8" x14ac:dyDescent="0.25">
      <c r="A813" t="s">
        <v>31</v>
      </c>
      <c r="B813" t="s">
        <v>919</v>
      </c>
      <c r="C813" t="s">
        <v>1116</v>
      </c>
      <c r="D813" t="s">
        <v>1125</v>
      </c>
      <c r="E813">
        <v>69.400000000000006</v>
      </c>
      <c r="F813">
        <v>813654</v>
      </c>
      <c r="G813" t="s">
        <v>1128</v>
      </c>
      <c r="H813" t="s">
        <v>1134</v>
      </c>
    </row>
    <row r="814" spans="1:8" x14ac:dyDescent="0.25">
      <c r="A814" t="s">
        <v>82</v>
      </c>
      <c r="B814" t="s">
        <v>920</v>
      </c>
      <c r="C814" t="s">
        <v>1117</v>
      </c>
      <c r="D814" t="s">
        <v>1125</v>
      </c>
      <c r="E814">
        <v>80.13</v>
      </c>
      <c r="F814">
        <v>638648</v>
      </c>
      <c r="G814" t="s">
        <v>1131</v>
      </c>
      <c r="H814" t="s">
        <v>1133</v>
      </c>
    </row>
    <row r="815" spans="1:8" x14ac:dyDescent="0.25">
      <c r="A815" t="s">
        <v>105</v>
      </c>
      <c r="B815" t="s">
        <v>921</v>
      </c>
      <c r="C815" t="s">
        <v>1109</v>
      </c>
      <c r="D815" t="s">
        <v>1124</v>
      </c>
      <c r="E815">
        <v>63.11</v>
      </c>
      <c r="F815">
        <v>995639</v>
      </c>
      <c r="G815" t="s">
        <v>1130</v>
      </c>
      <c r="H815" t="s">
        <v>1133</v>
      </c>
    </row>
    <row r="816" spans="1:8" x14ac:dyDescent="0.25">
      <c r="A816" t="s">
        <v>73</v>
      </c>
      <c r="B816" t="s">
        <v>922</v>
      </c>
      <c r="C816" t="s">
        <v>1113</v>
      </c>
      <c r="D816" t="s">
        <v>1126</v>
      </c>
      <c r="E816">
        <v>94.43</v>
      </c>
      <c r="F816">
        <v>140363</v>
      </c>
      <c r="G816" t="s">
        <v>1131</v>
      </c>
      <c r="H816" t="s">
        <v>1133</v>
      </c>
    </row>
    <row r="817" spans="1:8" x14ac:dyDescent="0.25">
      <c r="A817" t="s">
        <v>105</v>
      </c>
      <c r="B817" t="s">
        <v>923</v>
      </c>
      <c r="C817" t="s">
        <v>1109</v>
      </c>
      <c r="D817" t="s">
        <v>1122</v>
      </c>
      <c r="E817">
        <v>55.88</v>
      </c>
      <c r="F817">
        <v>973748</v>
      </c>
      <c r="G817" t="s">
        <v>1129</v>
      </c>
      <c r="H817" t="s">
        <v>1133</v>
      </c>
    </row>
    <row r="818" spans="1:8" x14ac:dyDescent="0.25">
      <c r="A818" t="s">
        <v>33</v>
      </c>
      <c r="B818" t="s">
        <v>924</v>
      </c>
      <c r="C818" t="s">
        <v>1113</v>
      </c>
      <c r="D818" t="s">
        <v>1124</v>
      </c>
      <c r="E818">
        <v>45.58</v>
      </c>
      <c r="F818">
        <v>306434</v>
      </c>
      <c r="G818" t="s">
        <v>1131</v>
      </c>
      <c r="H818" t="s">
        <v>1134</v>
      </c>
    </row>
    <row r="819" spans="1:8" x14ac:dyDescent="0.25">
      <c r="A819" t="s">
        <v>88</v>
      </c>
      <c r="B819" t="s">
        <v>925</v>
      </c>
      <c r="C819" t="s">
        <v>1114</v>
      </c>
      <c r="D819" t="s">
        <v>1123</v>
      </c>
      <c r="E819">
        <v>35.369999999999997</v>
      </c>
      <c r="F819">
        <v>375550</v>
      </c>
      <c r="G819" t="s">
        <v>1131</v>
      </c>
      <c r="H819" t="s">
        <v>1133</v>
      </c>
    </row>
    <row r="820" spans="1:8" x14ac:dyDescent="0.25">
      <c r="A820" t="s">
        <v>58</v>
      </c>
      <c r="B820" t="s">
        <v>926</v>
      </c>
      <c r="C820" t="s">
        <v>1112</v>
      </c>
      <c r="D820" t="s">
        <v>1122</v>
      </c>
      <c r="E820">
        <v>59.78</v>
      </c>
      <c r="F820">
        <v>683956</v>
      </c>
      <c r="G820" t="s">
        <v>1128</v>
      </c>
      <c r="H820" t="s">
        <v>1133</v>
      </c>
    </row>
    <row r="821" spans="1:8" x14ac:dyDescent="0.25">
      <c r="A821" t="s">
        <v>71</v>
      </c>
      <c r="B821" t="s">
        <v>927</v>
      </c>
      <c r="C821" t="s">
        <v>1113</v>
      </c>
      <c r="D821" t="s">
        <v>1123</v>
      </c>
      <c r="E821">
        <v>52.6</v>
      </c>
      <c r="F821">
        <v>438282</v>
      </c>
      <c r="G821" t="s">
        <v>1129</v>
      </c>
      <c r="H821" t="s">
        <v>1133</v>
      </c>
    </row>
    <row r="822" spans="1:8" x14ac:dyDescent="0.25">
      <c r="A822" t="s">
        <v>30</v>
      </c>
      <c r="B822" t="s">
        <v>928</v>
      </c>
      <c r="C822" t="s">
        <v>1108</v>
      </c>
      <c r="D822" t="s">
        <v>1120</v>
      </c>
      <c r="E822">
        <v>88.59</v>
      </c>
      <c r="F822">
        <v>969527</v>
      </c>
      <c r="G822" t="s">
        <v>1130</v>
      </c>
      <c r="H822" t="s">
        <v>1133</v>
      </c>
    </row>
    <row r="823" spans="1:8" x14ac:dyDescent="0.25">
      <c r="A823" t="s">
        <v>43</v>
      </c>
      <c r="B823" t="s">
        <v>929</v>
      </c>
      <c r="C823" t="s">
        <v>1109</v>
      </c>
      <c r="D823" t="s">
        <v>1120</v>
      </c>
      <c r="E823">
        <v>55.08</v>
      </c>
      <c r="F823">
        <v>584414</v>
      </c>
      <c r="G823" t="s">
        <v>1129</v>
      </c>
      <c r="H823" t="s">
        <v>1133</v>
      </c>
    </row>
    <row r="824" spans="1:8" x14ac:dyDescent="0.25">
      <c r="A824" t="s">
        <v>13</v>
      </c>
      <c r="B824" t="s">
        <v>930</v>
      </c>
      <c r="C824" t="s">
        <v>1111</v>
      </c>
      <c r="D824" t="s">
        <v>1118</v>
      </c>
      <c r="E824">
        <v>97.54</v>
      </c>
      <c r="F824">
        <v>436550</v>
      </c>
      <c r="G824" t="s">
        <v>1130</v>
      </c>
      <c r="H824" t="s">
        <v>1133</v>
      </c>
    </row>
    <row r="825" spans="1:8" x14ac:dyDescent="0.25">
      <c r="A825" t="s">
        <v>65</v>
      </c>
      <c r="B825" t="s">
        <v>931</v>
      </c>
      <c r="C825" t="s">
        <v>1110</v>
      </c>
      <c r="D825" t="s">
        <v>1123</v>
      </c>
      <c r="E825">
        <v>92.3</v>
      </c>
      <c r="F825">
        <v>819375</v>
      </c>
      <c r="G825" t="s">
        <v>1132</v>
      </c>
      <c r="H825" t="s">
        <v>1133</v>
      </c>
    </row>
    <row r="826" spans="1:8" x14ac:dyDescent="0.25">
      <c r="A826" t="s">
        <v>68</v>
      </c>
      <c r="B826" t="s">
        <v>932</v>
      </c>
      <c r="C826" t="s">
        <v>1112</v>
      </c>
      <c r="D826" t="s">
        <v>1126</v>
      </c>
      <c r="E826">
        <v>65.900000000000006</v>
      </c>
      <c r="F826">
        <v>286792</v>
      </c>
      <c r="G826" t="s">
        <v>1128</v>
      </c>
      <c r="H826" t="s">
        <v>1133</v>
      </c>
    </row>
    <row r="827" spans="1:8" x14ac:dyDescent="0.25">
      <c r="A827" t="s">
        <v>19</v>
      </c>
      <c r="B827" t="s">
        <v>933</v>
      </c>
      <c r="C827" t="s">
        <v>1116</v>
      </c>
      <c r="D827" t="s">
        <v>1119</v>
      </c>
      <c r="E827">
        <v>56.2</v>
      </c>
      <c r="F827">
        <v>388494</v>
      </c>
      <c r="G827" t="s">
        <v>1128</v>
      </c>
      <c r="H827" t="s">
        <v>1134</v>
      </c>
    </row>
    <row r="828" spans="1:8" x14ac:dyDescent="0.25">
      <c r="A828" t="s">
        <v>60</v>
      </c>
      <c r="B828" t="s">
        <v>934</v>
      </c>
      <c r="C828" t="s">
        <v>1115</v>
      </c>
      <c r="D828" t="s">
        <v>1126</v>
      </c>
      <c r="E828">
        <v>40.15</v>
      </c>
      <c r="F828">
        <v>176419</v>
      </c>
      <c r="G828" t="s">
        <v>1130</v>
      </c>
      <c r="H828" t="s">
        <v>1133</v>
      </c>
    </row>
    <row r="829" spans="1:8" x14ac:dyDescent="0.25">
      <c r="A829" t="s">
        <v>69</v>
      </c>
      <c r="B829" t="s">
        <v>935</v>
      </c>
      <c r="C829" t="s">
        <v>1108</v>
      </c>
      <c r="D829" t="s">
        <v>1124</v>
      </c>
      <c r="E829">
        <v>84.39</v>
      </c>
      <c r="F829">
        <v>141660</v>
      </c>
      <c r="G829" t="s">
        <v>1128</v>
      </c>
      <c r="H829" t="s">
        <v>1133</v>
      </c>
    </row>
    <row r="830" spans="1:8" x14ac:dyDescent="0.25">
      <c r="A830" t="s">
        <v>106</v>
      </c>
      <c r="B830" t="s">
        <v>936</v>
      </c>
      <c r="C830" t="s">
        <v>1112</v>
      </c>
      <c r="D830" t="s">
        <v>1127</v>
      </c>
      <c r="E830">
        <v>71.92</v>
      </c>
      <c r="F830">
        <v>985068</v>
      </c>
      <c r="G830" t="s">
        <v>1129</v>
      </c>
      <c r="H830" t="s">
        <v>1134</v>
      </c>
    </row>
    <row r="831" spans="1:8" x14ac:dyDescent="0.25">
      <c r="A831" t="s">
        <v>26</v>
      </c>
      <c r="B831" t="s">
        <v>937</v>
      </c>
      <c r="C831" t="s">
        <v>1110</v>
      </c>
      <c r="D831" t="s">
        <v>1124</v>
      </c>
      <c r="E831">
        <v>49.43</v>
      </c>
      <c r="F831">
        <v>568414</v>
      </c>
      <c r="G831" t="s">
        <v>1132</v>
      </c>
      <c r="H831" t="s">
        <v>1134</v>
      </c>
    </row>
    <row r="832" spans="1:8" x14ac:dyDescent="0.25">
      <c r="A832" t="s">
        <v>12</v>
      </c>
      <c r="B832" t="s">
        <v>938</v>
      </c>
      <c r="C832" t="s">
        <v>1110</v>
      </c>
      <c r="D832" t="s">
        <v>1122</v>
      </c>
      <c r="E832">
        <v>83.65</v>
      </c>
      <c r="F832">
        <v>423469</v>
      </c>
      <c r="G832" t="s">
        <v>1129</v>
      </c>
      <c r="H832" t="s">
        <v>1133</v>
      </c>
    </row>
    <row r="833" spans="1:8" x14ac:dyDescent="0.25">
      <c r="A833" t="s">
        <v>31</v>
      </c>
      <c r="B833" t="s">
        <v>939</v>
      </c>
      <c r="C833" t="s">
        <v>1111</v>
      </c>
      <c r="D833" t="s">
        <v>1118</v>
      </c>
      <c r="E833">
        <v>91.94</v>
      </c>
      <c r="F833">
        <v>548444</v>
      </c>
      <c r="G833" t="s">
        <v>1132</v>
      </c>
      <c r="H833" t="s">
        <v>1133</v>
      </c>
    </row>
    <row r="834" spans="1:8" x14ac:dyDescent="0.25">
      <c r="A834" t="s">
        <v>26</v>
      </c>
      <c r="B834" t="s">
        <v>940</v>
      </c>
      <c r="C834" t="s">
        <v>1113</v>
      </c>
      <c r="D834" t="s">
        <v>1122</v>
      </c>
      <c r="E834">
        <v>44.05</v>
      </c>
      <c r="F834">
        <v>589616</v>
      </c>
      <c r="G834" t="s">
        <v>1128</v>
      </c>
      <c r="H834" t="s">
        <v>1133</v>
      </c>
    </row>
    <row r="835" spans="1:8" x14ac:dyDescent="0.25">
      <c r="A835" t="s">
        <v>104</v>
      </c>
      <c r="B835" t="s">
        <v>941</v>
      </c>
      <c r="C835" t="s">
        <v>1116</v>
      </c>
      <c r="D835" t="s">
        <v>1122</v>
      </c>
      <c r="E835">
        <v>84.99</v>
      </c>
      <c r="F835">
        <v>418835</v>
      </c>
      <c r="G835" t="s">
        <v>1128</v>
      </c>
      <c r="H835" t="s">
        <v>1134</v>
      </c>
    </row>
    <row r="836" spans="1:8" x14ac:dyDescent="0.25">
      <c r="A836" t="s">
        <v>25</v>
      </c>
      <c r="B836" t="s">
        <v>942</v>
      </c>
      <c r="C836" t="s">
        <v>1114</v>
      </c>
      <c r="D836" t="s">
        <v>1127</v>
      </c>
      <c r="E836">
        <v>81.12</v>
      </c>
      <c r="F836">
        <v>767969</v>
      </c>
      <c r="G836" t="s">
        <v>1132</v>
      </c>
      <c r="H836" t="s">
        <v>1134</v>
      </c>
    </row>
    <row r="837" spans="1:8" x14ac:dyDescent="0.25">
      <c r="A837" t="s">
        <v>104</v>
      </c>
      <c r="B837" t="s">
        <v>943</v>
      </c>
      <c r="C837" t="s">
        <v>1111</v>
      </c>
      <c r="D837" t="s">
        <v>1127</v>
      </c>
      <c r="E837">
        <v>57.42</v>
      </c>
      <c r="F837">
        <v>198390</v>
      </c>
      <c r="G837" t="s">
        <v>1132</v>
      </c>
      <c r="H837" t="s">
        <v>1133</v>
      </c>
    </row>
    <row r="838" spans="1:8" x14ac:dyDescent="0.25">
      <c r="A838" t="s">
        <v>79</v>
      </c>
      <c r="B838" t="s">
        <v>944</v>
      </c>
      <c r="C838" t="s">
        <v>1115</v>
      </c>
      <c r="D838" t="s">
        <v>1120</v>
      </c>
      <c r="E838">
        <v>54.52</v>
      </c>
      <c r="F838">
        <v>912747</v>
      </c>
      <c r="G838" t="s">
        <v>1129</v>
      </c>
      <c r="H838" t="s">
        <v>1133</v>
      </c>
    </row>
    <row r="839" spans="1:8" x14ac:dyDescent="0.25">
      <c r="A839" t="s">
        <v>104</v>
      </c>
      <c r="B839" t="s">
        <v>945</v>
      </c>
      <c r="C839" t="s">
        <v>1113</v>
      </c>
      <c r="D839" t="s">
        <v>1124</v>
      </c>
      <c r="E839">
        <v>46.4</v>
      </c>
      <c r="F839">
        <v>436220</v>
      </c>
      <c r="G839" t="s">
        <v>1129</v>
      </c>
      <c r="H839" t="s">
        <v>1133</v>
      </c>
    </row>
    <row r="840" spans="1:8" x14ac:dyDescent="0.25">
      <c r="A840" t="s">
        <v>69</v>
      </c>
      <c r="B840" t="s">
        <v>946</v>
      </c>
      <c r="C840" t="s">
        <v>1115</v>
      </c>
      <c r="D840" t="s">
        <v>1126</v>
      </c>
      <c r="E840">
        <v>76.81</v>
      </c>
      <c r="F840">
        <v>247999</v>
      </c>
      <c r="G840" t="s">
        <v>1130</v>
      </c>
      <c r="H840" t="s">
        <v>1133</v>
      </c>
    </row>
    <row r="841" spans="1:8" x14ac:dyDescent="0.25">
      <c r="A841" t="s">
        <v>56</v>
      </c>
      <c r="B841" t="s">
        <v>947</v>
      </c>
      <c r="C841" t="s">
        <v>1114</v>
      </c>
      <c r="D841" t="s">
        <v>1126</v>
      </c>
      <c r="E841">
        <v>75.44</v>
      </c>
      <c r="F841">
        <v>456322</v>
      </c>
      <c r="G841" t="s">
        <v>1128</v>
      </c>
      <c r="H841" t="s">
        <v>1134</v>
      </c>
    </row>
    <row r="842" spans="1:8" x14ac:dyDescent="0.25">
      <c r="A842" t="s">
        <v>95</v>
      </c>
      <c r="B842" t="s">
        <v>948</v>
      </c>
      <c r="C842" t="s">
        <v>1111</v>
      </c>
      <c r="D842" t="s">
        <v>1118</v>
      </c>
      <c r="E842">
        <v>53.01</v>
      </c>
      <c r="F842">
        <v>666087</v>
      </c>
      <c r="G842" t="s">
        <v>1131</v>
      </c>
      <c r="H842" t="s">
        <v>1134</v>
      </c>
    </row>
    <row r="843" spans="1:8" x14ac:dyDescent="0.25">
      <c r="A843" t="s">
        <v>53</v>
      </c>
      <c r="B843" t="s">
        <v>949</v>
      </c>
      <c r="C843" t="s">
        <v>1113</v>
      </c>
      <c r="D843" t="s">
        <v>1125</v>
      </c>
      <c r="E843">
        <v>84.96</v>
      </c>
      <c r="F843">
        <v>847328</v>
      </c>
      <c r="G843" t="s">
        <v>1130</v>
      </c>
      <c r="H843" t="s">
        <v>1133</v>
      </c>
    </row>
    <row r="844" spans="1:8" x14ac:dyDescent="0.25">
      <c r="A844" t="s">
        <v>12</v>
      </c>
      <c r="B844" t="s">
        <v>950</v>
      </c>
      <c r="C844" t="s">
        <v>1113</v>
      </c>
      <c r="D844" t="s">
        <v>1122</v>
      </c>
      <c r="E844">
        <v>46.42</v>
      </c>
      <c r="F844">
        <v>799408</v>
      </c>
      <c r="G844" t="s">
        <v>1131</v>
      </c>
      <c r="H844" t="s">
        <v>1134</v>
      </c>
    </row>
    <row r="845" spans="1:8" x14ac:dyDescent="0.25">
      <c r="A845" t="s">
        <v>103</v>
      </c>
      <c r="B845" t="s">
        <v>951</v>
      </c>
      <c r="C845" t="s">
        <v>1116</v>
      </c>
      <c r="D845" t="s">
        <v>1126</v>
      </c>
      <c r="E845">
        <v>42.86</v>
      </c>
      <c r="F845">
        <v>851448</v>
      </c>
      <c r="G845" t="s">
        <v>1130</v>
      </c>
      <c r="H845" t="s">
        <v>1133</v>
      </c>
    </row>
    <row r="846" spans="1:8" x14ac:dyDescent="0.25">
      <c r="A846" t="s">
        <v>37</v>
      </c>
      <c r="B846" t="s">
        <v>952</v>
      </c>
      <c r="C846" t="s">
        <v>1110</v>
      </c>
      <c r="D846" t="s">
        <v>1120</v>
      </c>
      <c r="E846">
        <v>89.8</v>
      </c>
      <c r="F846">
        <v>328802</v>
      </c>
      <c r="G846" t="s">
        <v>1131</v>
      </c>
      <c r="H846" t="s">
        <v>1133</v>
      </c>
    </row>
    <row r="847" spans="1:8" x14ac:dyDescent="0.25">
      <c r="A847" t="s">
        <v>16</v>
      </c>
      <c r="B847" t="s">
        <v>953</v>
      </c>
      <c r="C847" t="s">
        <v>1115</v>
      </c>
      <c r="D847" t="s">
        <v>1124</v>
      </c>
      <c r="E847">
        <v>88.12</v>
      </c>
      <c r="F847">
        <v>620201</v>
      </c>
      <c r="G847" t="s">
        <v>1130</v>
      </c>
      <c r="H847" t="s">
        <v>1134</v>
      </c>
    </row>
    <row r="848" spans="1:8" x14ac:dyDescent="0.25">
      <c r="A848" t="s">
        <v>31</v>
      </c>
      <c r="B848" t="s">
        <v>954</v>
      </c>
      <c r="C848" t="s">
        <v>1116</v>
      </c>
      <c r="D848" t="s">
        <v>1122</v>
      </c>
      <c r="E848">
        <v>56.79</v>
      </c>
      <c r="F848">
        <v>295493</v>
      </c>
      <c r="G848" t="s">
        <v>1129</v>
      </c>
      <c r="H848" t="s">
        <v>1134</v>
      </c>
    </row>
    <row r="849" spans="1:8" x14ac:dyDescent="0.25">
      <c r="A849" t="s">
        <v>100</v>
      </c>
      <c r="B849" t="s">
        <v>955</v>
      </c>
      <c r="C849" t="s">
        <v>1111</v>
      </c>
      <c r="D849" t="s">
        <v>1126</v>
      </c>
      <c r="E849">
        <v>94.46</v>
      </c>
      <c r="F849">
        <v>163899</v>
      </c>
      <c r="G849" t="s">
        <v>1132</v>
      </c>
      <c r="H849" t="s">
        <v>1133</v>
      </c>
    </row>
    <row r="850" spans="1:8" x14ac:dyDescent="0.25">
      <c r="A850" t="s">
        <v>61</v>
      </c>
      <c r="B850" t="s">
        <v>956</v>
      </c>
      <c r="C850" t="s">
        <v>1112</v>
      </c>
      <c r="D850" t="s">
        <v>1127</v>
      </c>
      <c r="E850">
        <v>47.93</v>
      </c>
      <c r="F850">
        <v>981228</v>
      </c>
      <c r="G850" t="s">
        <v>1128</v>
      </c>
      <c r="H850" t="s">
        <v>1133</v>
      </c>
    </row>
    <row r="851" spans="1:8" x14ac:dyDescent="0.25">
      <c r="A851" t="s">
        <v>10</v>
      </c>
      <c r="B851" t="s">
        <v>957</v>
      </c>
      <c r="C851" t="s">
        <v>1113</v>
      </c>
      <c r="D851" t="s">
        <v>1118</v>
      </c>
      <c r="E851">
        <v>72.73</v>
      </c>
      <c r="F851">
        <v>866174</v>
      </c>
      <c r="G851" t="s">
        <v>1131</v>
      </c>
      <c r="H851" t="s">
        <v>1134</v>
      </c>
    </row>
    <row r="852" spans="1:8" x14ac:dyDescent="0.25">
      <c r="A852" t="s">
        <v>48</v>
      </c>
      <c r="B852" t="s">
        <v>958</v>
      </c>
      <c r="C852" t="s">
        <v>1113</v>
      </c>
      <c r="D852" t="s">
        <v>1127</v>
      </c>
      <c r="E852">
        <v>71.61</v>
      </c>
      <c r="F852">
        <v>463706</v>
      </c>
      <c r="G852" t="s">
        <v>1128</v>
      </c>
      <c r="H852" t="s">
        <v>1133</v>
      </c>
    </row>
    <row r="853" spans="1:8" x14ac:dyDescent="0.25">
      <c r="A853" t="s">
        <v>63</v>
      </c>
      <c r="B853" t="s">
        <v>959</v>
      </c>
      <c r="C853" t="s">
        <v>1117</v>
      </c>
      <c r="D853" t="s">
        <v>1126</v>
      </c>
      <c r="E853">
        <v>55.09</v>
      </c>
      <c r="F853">
        <v>114319</v>
      </c>
      <c r="G853" t="s">
        <v>1129</v>
      </c>
      <c r="H853" t="s">
        <v>1134</v>
      </c>
    </row>
    <row r="854" spans="1:8" x14ac:dyDescent="0.25">
      <c r="A854" t="s">
        <v>49</v>
      </c>
      <c r="B854" t="s">
        <v>960</v>
      </c>
      <c r="C854" t="s">
        <v>1117</v>
      </c>
      <c r="D854" t="s">
        <v>1127</v>
      </c>
      <c r="E854">
        <v>78.53</v>
      </c>
      <c r="F854">
        <v>569580</v>
      </c>
      <c r="G854" t="s">
        <v>1128</v>
      </c>
      <c r="H854" t="s">
        <v>1134</v>
      </c>
    </row>
    <row r="855" spans="1:8" x14ac:dyDescent="0.25">
      <c r="A855" t="s">
        <v>29</v>
      </c>
      <c r="B855" t="s">
        <v>961</v>
      </c>
      <c r="C855" t="s">
        <v>1108</v>
      </c>
      <c r="D855" t="s">
        <v>1125</v>
      </c>
      <c r="E855">
        <v>91.88</v>
      </c>
      <c r="F855">
        <v>517713</v>
      </c>
      <c r="G855" t="s">
        <v>1130</v>
      </c>
      <c r="H855" t="s">
        <v>1133</v>
      </c>
    </row>
    <row r="856" spans="1:8" x14ac:dyDescent="0.25">
      <c r="A856" t="s">
        <v>66</v>
      </c>
      <c r="B856" t="s">
        <v>962</v>
      </c>
      <c r="C856" t="s">
        <v>1114</v>
      </c>
      <c r="D856" t="s">
        <v>1119</v>
      </c>
      <c r="E856">
        <v>46.21</v>
      </c>
      <c r="F856">
        <v>254507</v>
      </c>
      <c r="G856" t="s">
        <v>1132</v>
      </c>
      <c r="H856" t="s">
        <v>1133</v>
      </c>
    </row>
    <row r="857" spans="1:8" x14ac:dyDescent="0.25">
      <c r="A857" t="s">
        <v>59</v>
      </c>
      <c r="B857" t="s">
        <v>963</v>
      </c>
      <c r="C857" t="s">
        <v>1114</v>
      </c>
      <c r="D857" t="s">
        <v>1123</v>
      </c>
      <c r="E857">
        <v>76.08</v>
      </c>
      <c r="F857">
        <v>366238</v>
      </c>
      <c r="G857" t="s">
        <v>1129</v>
      </c>
      <c r="H857" t="s">
        <v>1134</v>
      </c>
    </row>
    <row r="858" spans="1:8" x14ac:dyDescent="0.25">
      <c r="A858" t="s">
        <v>41</v>
      </c>
      <c r="B858" t="s">
        <v>964</v>
      </c>
      <c r="C858" t="s">
        <v>1115</v>
      </c>
      <c r="D858" t="s">
        <v>1126</v>
      </c>
      <c r="E858">
        <v>65.66</v>
      </c>
      <c r="F858">
        <v>796244</v>
      </c>
      <c r="G858" t="s">
        <v>1132</v>
      </c>
      <c r="H858" t="s">
        <v>1133</v>
      </c>
    </row>
    <row r="859" spans="1:8" x14ac:dyDescent="0.25">
      <c r="A859" t="s">
        <v>48</v>
      </c>
      <c r="B859" t="s">
        <v>965</v>
      </c>
      <c r="C859" t="s">
        <v>1108</v>
      </c>
      <c r="D859" t="s">
        <v>1119</v>
      </c>
      <c r="E859">
        <v>65.209999999999994</v>
      </c>
      <c r="F859">
        <v>196786</v>
      </c>
      <c r="G859" t="s">
        <v>1130</v>
      </c>
      <c r="H859" t="s">
        <v>1133</v>
      </c>
    </row>
    <row r="860" spans="1:8" x14ac:dyDescent="0.25">
      <c r="A860" t="s">
        <v>55</v>
      </c>
      <c r="B860" t="s">
        <v>966</v>
      </c>
      <c r="C860" t="s">
        <v>1109</v>
      </c>
      <c r="D860" t="s">
        <v>1122</v>
      </c>
      <c r="E860">
        <v>86.99</v>
      </c>
      <c r="F860">
        <v>900812</v>
      </c>
      <c r="G860" t="s">
        <v>1129</v>
      </c>
      <c r="H860" t="s">
        <v>1134</v>
      </c>
    </row>
    <row r="861" spans="1:8" x14ac:dyDescent="0.25">
      <c r="A861" t="s">
        <v>35</v>
      </c>
      <c r="B861" t="s">
        <v>967</v>
      </c>
      <c r="C861" t="s">
        <v>1117</v>
      </c>
      <c r="D861" t="s">
        <v>1123</v>
      </c>
      <c r="E861">
        <v>74.33</v>
      </c>
      <c r="F861">
        <v>223242</v>
      </c>
      <c r="G861" t="s">
        <v>1132</v>
      </c>
      <c r="H861" t="s">
        <v>1134</v>
      </c>
    </row>
    <row r="862" spans="1:8" x14ac:dyDescent="0.25">
      <c r="A862" t="s">
        <v>47</v>
      </c>
      <c r="B862" t="s">
        <v>968</v>
      </c>
      <c r="C862" t="s">
        <v>1111</v>
      </c>
      <c r="D862" t="s">
        <v>1126</v>
      </c>
      <c r="E862">
        <v>52.58</v>
      </c>
      <c r="F862">
        <v>747751</v>
      </c>
      <c r="G862" t="s">
        <v>1130</v>
      </c>
      <c r="H862" t="s">
        <v>1133</v>
      </c>
    </row>
    <row r="863" spans="1:8" x14ac:dyDescent="0.25">
      <c r="A863" t="s">
        <v>71</v>
      </c>
      <c r="B863" t="s">
        <v>969</v>
      </c>
      <c r="C863" t="s">
        <v>1117</v>
      </c>
      <c r="D863" t="s">
        <v>1123</v>
      </c>
      <c r="E863">
        <v>66.430000000000007</v>
      </c>
      <c r="F863">
        <v>794960</v>
      </c>
      <c r="G863" t="s">
        <v>1131</v>
      </c>
      <c r="H863" t="s">
        <v>1133</v>
      </c>
    </row>
    <row r="864" spans="1:8" x14ac:dyDescent="0.25">
      <c r="A864" t="s">
        <v>34</v>
      </c>
      <c r="B864" t="s">
        <v>970</v>
      </c>
      <c r="C864" t="s">
        <v>1108</v>
      </c>
      <c r="D864" t="s">
        <v>1125</v>
      </c>
      <c r="E864">
        <v>88</v>
      </c>
      <c r="F864">
        <v>751521</v>
      </c>
      <c r="G864" t="s">
        <v>1128</v>
      </c>
      <c r="H864" t="s">
        <v>1133</v>
      </c>
    </row>
    <row r="865" spans="1:8" x14ac:dyDescent="0.25">
      <c r="A865" t="s">
        <v>71</v>
      </c>
      <c r="B865" t="s">
        <v>971</v>
      </c>
      <c r="C865" t="s">
        <v>1110</v>
      </c>
      <c r="D865" t="s">
        <v>1125</v>
      </c>
      <c r="E865">
        <v>36.58</v>
      </c>
      <c r="F865">
        <v>952202</v>
      </c>
      <c r="G865" t="s">
        <v>1130</v>
      </c>
      <c r="H865" t="s">
        <v>1133</v>
      </c>
    </row>
    <row r="866" spans="1:8" x14ac:dyDescent="0.25">
      <c r="A866" t="s">
        <v>64</v>
      </c>
      <c r="B866" t="s">
        <v>972</v>
      </c>
      <c r="C866" t="s">
        <v>1109</v>
      </c>
      <c r="D866" t="s">
        <v>1119</v>
      </c>
      <c r="E866">
        <v>68.760000000000005</v>
      </c>
      <c r="F866">
        <v>449450</v>
      </c>
      <c r="G866" t="s">
        <v>1131</v>
      </c>
      <c r="H866" t="s">
        <v>1134</v>
      </c>
    </row>
    <row r="867" spans="1:8" x14ac:dyDescent="0.25">
      <c r="A867" t="s">
        <v>84</v>
      </c>
      <c r="B867" t="s">
        <v>973</v>
      </c>
      <c r="C867" t="s">
        <v>1110</v>
      </c>
      <c r="D867" t="s">
        <v>1119</v>
      </c>
      <c r="E867">
        <v>74.489999999999995</v>
      </c>
      <c r="F867">
        <v>681750</v>
      </c>
      <c r="G867" t="s">
        <v>1129</v>
      </c>
      <c r="H867" t="s">
        <v>1133</v>
      </c>
    </row>
    <row r="868" spans="1:8" x14ac:dyDescent="0.25">
      <c r="A868" t="s">
        <v>102</v>
      </c>
      <c r="B868" t="s">
        <v>974</v>
      </c>
      <c r="C868" t="s">
        <v>1113</v>
      </c>
      <c r="D868" t="s">
        <v>1125</v>
      </c>
      <c r="E868">
        <v>71.23</v>
      </c>
      <c r="F868">
        <v>952258</v>
      </c>
      <c r="G868" t="s">
        <v>1128</v>
      </c>
      <c r="H868" t="s">
        <v>1133</v>
      </c>
    </row>
    <row r="869" spans="1:8" x14ac:dyDescent="0.25">
      <c r="A869" t="s">
        <v>43</v>
      </c>
      <c r="B869" t="s">
        <v>975</v>
      </c>
      <c r="C869" t="s">
        <v>1112</v>
      </c>
      <c r="D869" t="s">
        <v>1127</v>
      </c>
      <c r="E869">
        <v>59.41</v>
      </c>
      <c r="F869">
        <v>558882</v>
      </c>
      <c r="G869" t="s">
        <v>1128</v>
      </c>
      <c r="H869" t="s">
        <v>1134</v>
      </c>
    </row>
    <row r="870" spans="1:8" x14ac:dyDescent="0.25">
      <c r="A870" t="s">
        <v>98</v>
      </c>
      <c r="B870" t="s">
        <v>976</v>
      </c>
      <c r="C870" t="s">
        <v>1114</v>
      </c>
      <c r="D870" t="s">
        <v>1119</v>
      </c>
      <c r="E870">
        <v>48.28</v>
      </c>
      <c r="F870">
        <v>656244</v>
      </c>
      <c r="G870" t="s">
        <v>1128</v>
      </c>
      <c r="H870" t="s">
        <v>1133</v>
      </c>
    </row>
    <row r="871" spans="1:8" x14ac:dyDescent="0.25">
      <c r="A871" t="s">
        <v>32</v>
      </c>
      <c r="B871" t="s">
        <v>977</v>
      </c>
      <c r="C871" t="s">
        <v>1115</v>
      </c>
      <c r="D871" t="s">
        <v>1123</v>
      </c>
      <c r="E871">
        <v>72.84</v>
      </c>
      <c r="F871">
        <v>874645</v>
      </c>
      <c r="G871" t="s">
        <v>1131</v>
      </c>
      <c r="H871" t="s">
        <v>1133</v>
      </c>
    </row>
    <row r="872" spans="1:8" x14ac:dyDescent="0.25">
      <c r="A872" t="s">
        <v>50</v>
      </c>
      <c r="B872" t="s">
        <v>978</v>
      </c>
      <c r="C872" t="s">
        <v>1112</v>
      </c>
      <c r="D872" t="s">
        <v>1121</v>
      </c>
      <c r="E872">
        <v>87.24</v>
      </c>
      <c r="F872">
        <v>355980</v>
      </c>
      <c r="G872" t="s">
        <v>1131</v>
      </c>
      <c r="H872" t="s">
        <v>1134</v>
      </c>
    </row>
    <row r="873" spans="1:8" x14ac:dyDescent="0.25">
      <c r="A873" t="s">
        <v>48</v>
      </c>
      <c r="B873" t="s">
        <v>979</v>
      </c>
      <c r="C873" t="s">
        <v>1110</v>
      </c>
      <c r="D873" t="s">
        <v>1118</v>
      </c>
      <c r="E873">
        <v>66.27</v>
      </c>
      <c r="F873">
        <v>357945</v>
      </c>
      <c r="G873" t="s">
        <v>1128</v>
      </c>
      <c r="H873" t="s">
        <v>1134</v>
      </c>
    </row>
    <row r="874" spans="1:8" x14ac:dyDescent="0.25">
      <c r="A874" t="s">
        <v>8</v>
      </c>
      <c r="B874" t="s">
        <v>980</v>
      </c>
      <c r="C874" t="s">
        <v>1108</v>
      </c>
      <c r="D874" t="s">
        <v>1123</v>
      </c>
      <c r="E874">
        <v>46.29</v>
      </c>
      <c r="F874">
        <v>321886</v>
      </c>
      <c r="G874" t="s">
        <v>1129</v>
      </c>
      <c r="H874" t="s">
        <v>1134</v>
      </c>
    </row>
    <row r="875" spans="1:8" x14ac:dyDescent="0.25">
      <c r="A875" t="s">
        <v>101</v>
      </c>
      <c r="B875" t="s">
        <v>981</v>
      </c>
      <c r="C875" t="s">
        <v>1116</v>
      </c>
      <c r="D875" t="s">
        <v>1122</v>
      </c>
      <c r="E875">
        <v>51.06</v>
      </c>
      <c r="F875">
        <v>242372</v>
      </c>
      <c r="G875" t="s">
        <v>1132</v>
      </c>
      <c r="H875" t="s">
        <v>1134</v>
      </c>
    </row>
    <row r="876" spans="1:8" x14ac:dyDescent="0.25">
      <c r="A876" t="s">
        <v>16</v>
      </c>
      <c r="B876" t="s">
        <v>982</v>
      </c>
      <c r="C876" t="s">
        <v>1115</v>
      </c>
      <c r="D876" t="s">
        <v>1118</v>
      </c>
      <c r="E876">
        <v>70.97</v>
      </c>
      <c r="F876">
        <v>859101</v>
      </c>
      <c r="G876" t="s">
        <v>1128</v>
      </c>
      <c r="H876" t="s">
        <v>1133</v>
      </c>
    </row>
    <row r="877" spans="1:8" x14ac:dyDescent="0.25">
      <c r="A877" t="s">
        <v>35</v>
      </c>
      <c r="B877" t="s">
        <v>983</v>
      </c>
      <c r="C877" t="s">
        <v>1109</v>
      </c>
      <c r="D877" t="s">
        <v>1119</v>
      </c>
      <c r="E877">
        <v>71.53</v>
      </c>
      <c r="F877">
        <v>955320</v>
      </c>
      <c r="G877" t="s">
        <v>1129</v>
      </c>
      <c r="H877" t="s">
        <v>1133</v>
      </c>
    </row>
    <row r="878" spans="1:8" x14ac:dyDescent="0.25">
      <c r="A878" t="s">
        <v>19</v>
      </c>
      <c r="B878" t="s">
        <v>984</v>
      </c>
      <c r="C878" t="s">
        <v>1109</v>
      </c>
      <c r="D878" t="s">
        <v>1120</v>
      </c>
      <c r="E878">
        <v>60.56</v>
      </c>
      <c r="F878">
        <v>279487</v>
      </c>
      <c r="G878" t="s">
        <v>1128</v>
      </c>
      <c r="H878" t="s">
        <v>1134</v>
      </c>
    </row>
    <row r="879" spans="1:8" x14ac:dyDescent="0.25">
      <c r="A879" t="s">
        <v>23</v>
      </c>
      <c r="B879" t="s">
        <v>985</v>
      </c>
      <c r="C879" t="s">
        <v>1110</v>
      </c>
      <c r="D879" t="s">
        <v>1124</v>
      </c>
      <c r="E879">
        <v>42.11</v>
      </c>
      <c r="F879">
        <v>363420</v>
      </c>
      <c r="G879" t="s">
        <v>1130</v>
      </c>
      <c r="H879" t="s">
        <v>1133</v>
      </c>
    </row>
    <row r="880" spans="1:8" x14ac:dyDescent="0.25">
      <c r="A880" t="s">
        <v>92</v>
      </c>
      <c r="B880" t="s">
        <v>986</v>
      </c>
      <c r="C880" t="s">
        <v>1117</v>
      </c>
      <c r="D880" t="s">
        <v>1121</v>
      </c>
      <c r="E880">
        <v>92.24</v>
      </c>
      <c r="F880">
        <v>241327</v>
      </c>
      <c r="G880" t="s">
        <v>1131</v>
      </c>
      <c r="H880" t="s">
        <v>1134</v>
      </c>
    </row>
    <row r="881" spans="1:8" x14ac:dyDescent="0.25">
      <c r="A881" t="s">
        <v>107</v>
      </c>
      <c r="B881" t="s">
        <v>987</v>
      </c>
      <c r="C881" t="s">
        <v>1110</v>
      </c>
      <c r="D881" t="s">
        <v>1125</v>
      </c>
      <c r="E881">
        <v>52.2</v>
      </c>
      <c r="F881">
        <v>921377</v>
      </c>
      <c r="G881" t="s">
        <v>1132</v>
      </c>
      <c r="H881" t="s">
        <v>1133</v>
      </c>
    </row>
    <row r="882" spans="1:8" x14ac:dyDescent="0.25">
      <c r="A882" t="s">
        <v>73</v>
      </c>
      <c r="B882" t="s">
        <v>988</v>
      </c>
      <c r="C882" t="s">
        <v>1113</v>
      </c>
      <c r="D882" t="s">
        <v>1118</v>
      </c>
      <c r="E882">
        <v>77.52</v>
      </c>
      <c r="F882">
        <v>531981</v>
      </c>
      <c r="G882" t="s">
        <v>1128</v>
      </c>
      <c r="H882" t="s">
        <v>1133</v>
      </c>
    </row>
    <row r="883" spans="1:8" x14ac:dyDescent="0.25">
      <c r="A883" t="s">
        <v>58</v>
      </c>
      <c r="B883" t="s">
        <v>989</v>
      </c>
      <c r="C883" t="s">
        <v>1113</v>
      </c>
      <c r="D883" t="s">
        <v>1125</v>
      </c>
      <c r="E883">
        <v>65.739999999999995</v>
      </c>
      <c r="F883">
        <v>171504</v>
      </c>
      <c r="G883" t="s">
        <v>1128</v>
      </c>
      <c r="H883" t="s">
        <v>1133</v>
      </c>
    </row>
    <row r="884" spans="1:8" x14ac:dyDescent="0.25">
      <c r="A884" t="s">
        <v>11</v>
      </c>
      <c r="B884" t="s">
        <v>990</v>
      </c>
      <c r="C884" t="s">
        <v>1114</v>
      </c>
      <c r="D884" t="s">
        <v>1127</v>
      </c>
      <c r="E884">
        <v>37.15</v>
      </c>
      <c r="F884">
        <v>554878</v>
      </c>
      <c r="G884" t="s">
        <v>1132</v>
      </c>
      <c r="H884" t="s">
        <v>1133</v>
      </c>
    </row>
    <row r="885" spans="1:8" x14ac:dyDescent="0.25">
      <c r="A885" t="s">
        <v>20</v>
      </c>
      <c r="B885" t="s">
        <v>991</v>
      </c>
      <c r="C885" t="s">
        <v>1109</v>
      </c>
      <c r="D885" t="s">
        <v>1118</v>
      </c>
      <c r="E885">
        <v>38.11</v>
      </c>
      <c r="F885">
        <v>157326</v>
      </c>
      <c r="G885" t="s">
        <v>1131</v>
      </c>
      <c r="H885" t="s">
        <v>1133</v>
      </c>
    </row>
    <row r="886" spans="1:8" x14ac:dyDescent="0.25">
      <c r="A886" t="s">
        <v>55</v>
      </c>
      <c r="B886" t="s">
        <v>992</v>
      </c>
      <c r="C886" t="s">
        <v>1115</v>
      </c>
      <c r="D886" t="s">
        <v>1118</v>
      </c>
      <c r="E886">
        <v>96.65</v>
      </c>
      <c r="F886">
        <v>190371</v>
      </c>
      <c r="G886" t="s">
        <v>1132</v>
      </c>
      <c r="H886" t="s">
        <v>1133</v>
      </c>
    </row>
    <row r="887" spans="1:8" x14ac:dyDescent="0.25">
      <c r="A887" t="s">
        <v>32</v>
      </c>
      <c r="B887" t="s">
        <v>993</v>
      </c>
      <c r="C887" t="s">
        <v>1114</v>
      </c>
      <c r="D887" t="s">
        <v>1126</v>
      </c>
      <c r="E887">
        <v>38.57</v>
      </c>
      <c r="F887">
        <v>199534</v>
      </c>
      <c r="G887" t="s">
        <v>1132</v>
      </c>
      <c r="H887" t="s">
        <v>1134</v>
      </c>
    </row>
    <row r="888" spans="1:8" x14ac:dyDescent="0.25">
      <c r="A888" t="s">
        <v>83</v>
      </c>
      <c r="B888" t="s">
        <v>994</v>
      </c>
      <c r="C888" t="s">
        <v>1111</v>
      </c>
      <c r="D888" t="s">
        <v>1122</v>
      </c>
      <c r="E888">
        <v>86.75</v>
      </c>
      <c r="F888">
        <v>843578</v>
      </c>
      <c r="G888" t="s">
        <v>1130</v>
      </c>
      <c r="H888" t="s">
        <v>1133</v>
      </c>
    </row>
    <row r="889" spans="1:8" x14ac:dyDescent="0.25">
      <c r="A889" t="s">
        <v>18</v>
      </c>
      <c r="B889" t="s">
        <v>995</v>
      </c>
      <c r="C889" t="s">
        <v>1114</v>
      </c>
      <c r="D889" t="s">
        <v>1121</v>
      </c>
      <c r="E889">
        <v>48.05</v>
      </c>
      <c r="F889">
        <v>382290</v>
      </c>
      <c r="G889" t="s">
        <v>1131</v>
      </c>
      <c r="H889" t="s">
        <v>1133</v>
      </c>
    </row>
    <row r="890" spans="1:8" x14ac:dyDescent="0.25">
      <c r="A890" t="s">
        <v>98</v>
      </c>
      <c r="B890" t="s">
        <v>996</v>
      </c>
      <c r="C890" t="s">
        <v>1113</v>
      </c>
      <c r="D890" t="s">
        <v>1124</v>
      </c>
      <c r="E890">
        <v>52.34</v>
      </c>
      <c r="F890">
        <v>966934</v>
      </c>
      <c r="G890" t="s">
        <v>1130</v>
      </c>
      <c r="H890" t="s">
        <v>1133</v>
      </c>
    </row>
    <row r="891" spans="1:8" x14ac:dyDescent="0.25">
      <c r="A891" t="s">
        <v>30</v>
      </c>
      <c r="B891" t="s">
        <v>997</v>
      </c>
      <c r="C891" t="s">
        <v>1115</v>
      </c>
      <c r="D891" t="s">
        <v>1118</v>
      </c>
      <c r="E891">
        <v>76.98</v>
      </c>
      <c r="F891">
        <v>863130</v>
      </c>
      <c r="G891" t="s">
        <v>1130</v>
      </c>
      <c r="H891" t="s">
        <v>1133</v>
      </c>
    </row>
    <row r="892" spans="1:8" x14ac:dyDescent="0.25">
      <c r="A892" t="s">
        <v>8</v>
      </c>
      <c r="B892" t="s">
        <v>998</v>
      </c>
      <c r="C892" t="s">
        <v>1116</v>
      </c>
      <c r="D892" t="s">
        <v>1125</v>
      </c>
      <c r="E892">
        <v>89.25</v>
      </c>
      <c r="F892">
        <v>875307</v>
      </c>
      <c r="G892" t="s">
        <v>1130</v>
      </c>
      <c r="H892" t="s">
        <v>1133</v>
      </c>
    </row>
    <row r="893" spans="1:8" x14ac:dyDescent="0.25">
      <c r="A893" t="s">
        <v>35</v>
      </c>
      <c r="B893" t="s">
        <v>999</v>
      </c>
      <c r="C893" t="s">
        <v>1116</v>
      </c>
      <c r="D893" t="s">
        <v>1125</v>
      </c>
      <c r="E893">
        <v>78.099999999999994</v>
      </c>
      <c r="F893">
        <v>558693</v>
      </c>
      <c r="G893" t="s">
        <v>1132</v>
      </c>
      <c r="H893" t="s">
        <v>1133</v>
      </c>
    </row>
    <row r="894" spans="1:8" x14ac:dyDescent="0.25">
      <c r="A894" t="s">
        <v>14</v>
      </c>
      <c r="B894" t="s">
        <v>1000</v>
      </c>
      <c r="C894" t="s">
        <v>1108</v>
      </c>
      <c r="D894" t="s">
        <v>1125</v>
      </c>
      <c r="E894">
        <v>44.4</v>
      </c>
      <c r="F894">
        <v>886004</v>
      </c>
      <c r="G894" t="s">
        <v>1132</v>
      </c>
      <c r="H894" t="s">
        <v>1134</v>
      </c>
    </row>
    <row r="895" spans="1:8" x14ac:dyDescent="0.25">
      <c r="A895" t="s">
        <v>89</v>
      </c>
      <c r="B895" t="s">
        <v>1001</v>
      </c>
      <c r="C895" t="s">
        <v>1110</v>
      </c>
      <c r="D895" t="s">
        <v>1121</v>
      </c>
      <c r="E895">
        <v>50.88</v>
      </c>
      <c r="F895">
        <v>846127</v>
      </c>
      <c r="G895" t="s">
        <v>1131</v>
      </c>
      <c r="H895" t="s">
        <v>1133</v>
      </c>
    </row>
    <row r="896" spans="1:8" x14ac:dyDescent="0.25">
      <c r="A896" t="s">
        <v>53</v>
      </c>
      <c r="B896" t="s">
        <v>1002</v>
      </c>
      <c r="C896" t="s">
        <v>1112</v>
      </c>
      <c r="D896" t="s">
        <v>1118</v>
      </c>
      <c r="E896">
        <v>60.28</v>
      </c>
      <c r="F896">
        <v>280552</v>
      </c>
      <c r="G896" t="s">
        <v>1131</v>
      </c>
      <c r="H896" t="s">
        <v>1134</v>
      </c>
    </row>
    <row r="897" spans="1:8" x14ac:dyDescent="0.25">
      <c r="A897" t="s">
        <v>53</v>
      </c>
      <c r="B897" t="s">
        <v>1003</v>
      </c>
      <c r="C897" t="s">
        <v>1113</v>
      </c>
      <c r="D897" t="s">
        <v>1119</v>
      </c>
      <c r="E897">
        <v>43.33</v>
      </c>
      <c r="F897">
        <v>399197</v>
      </c>
      <c r="G897" t="s">
        <v>1129</v>
      </c>
      <c r="H897" t="s">
        <v>1133</v>
      </c>
    </row>
    <row r="898" spans="1:8" x14ac:dyDescent="0.25">
      <c r="A898" t="s">
        <v>31</v>
      </c>
      <c r="B898" t="s">
        <v>1004</v>
      </c>
      <c r="C898" t="s">
        <v>1113</v>
      </c>
      <c r="D898" t="s">
        <v>1119</v>
      </c>
      <c r="E898">
        <v>80.25</v>
      </c>
      <c r="F898">
        <v>760646</v>
      </c>
      <c r="G898" t="s">
        <v>1130</v>
      </c>
      <c r="H898" t="s">
        <v>1133</v>
      </c>
    </row>
    <row r="899" spans="1:8" x14ac:dyDescent="0.25">
      <c r="A899" t="s">
        <v>95</v>
      </c>
      <c r="B899" t="s">
        <v>1005</v>
      </c>
      <c r="C899" t="s">
        <v>1110</v>
      </c>
      <c r="D899" t="s">
        <v>1119</v>
      </c>
      <c r="E899">
        <v>49.51</v>
      </c>
      <c r="F899">
        <v>255588</v>
      </c>
      <c r="G899" t="s">
        <v>1132</v>
      </c>
      <c r="H899" t="s">
        <v>1133</v>
      </c>
    </row>
    <row r="900" spans="1:8" x14ac:dyDescent="0.25">
      <c r="A900" t="s">
        <v>41</v>
      </c>
      <c r="B900" t="s">
        <v>1006</v>
      </c>
      <c r="C900" t="s">
        <v>1108</v>
      </c>
      <c r="D900" t="s">
        <v>1123</v>
      </c>
      <c r="E900">
        <v>65.5</v>
      </c>
      <c r="F900">
        <v>296799</v>
      </c>
      <c r="G900" t="s">
        <v>1129</v>
      </c>
      <c r="H900" t="s">
        <v>1134</v>
      </c>
    </row>
    <row r="901" spans="1:8" x14ac:dyDescent="0.25">
      <c r="A901" t="s">
        <v>88</v>
      </c>
      <c r="B901" t="s">
        <v>1007</v>
      </c>
      <c r="C901" t="s">
        <v>1116</v>
      </c>
      <c r="D901" t="s">
        <v>1125</v>
      </c>
      <c r="E901">
        <v>76.45</v>
      </c>
      <c r="F901">
        <v>896681</v>
      </c>
      <c r="G901" t="s">
        <v>1132</v>
      </c>
      <c r="H901" t="s">
        <v>1133</v>
      </c>
    </row>
    <row r="902" spans="1:8" x14ac:dyDescent="0.25">
      <c r="A902" t="s">
        <v>34</v>
      </c>
      <c r="B902" t="s">
        <v>1008</v>
      </c>
      <c r="C902" t="s">
        <v>1117</v>
      </c>
      <c r="D902" t="s">
        <v>1126</v>
      </c>
      <c r="E902">
        <v>50.69</v>
      </c>
      <c r="F902">
        <v>876407</v>
      </c>
      <c r="G902" t="s">
        <v>1129</v>
      </c>
      <c r="H902" t="s">
        <v>1133</v>
      </c>
    </row>
    <row r="903" spans="1:8" x14ac:dyDescent="0.25">
      <c r="A903" t="s">
        <v>93</v>
      </c>
      <c r="B903" t="s">
        <v>1009</v>
      </c>
      <c r="C903" t="s">
        <v>1111</v>
      </c>
      <c r="D903" t="s">
        <v>1122</v>
      </c>
      <c r="E903">
        <v>41.28</v>
      </c>
      <c r="F903">
        <v>227636</v>
      </c>
      <c r="G903" t="s">
        <v>1129</v>
      </c>
      <c r="H903" t="s">
        <v>1134</v>
      </c>
    </row>
    <row r="904" spans="1:8" x14ac:dyDescent="0.25">
      <c r="A904" t="s">
        <v>39</v>
      </c>
      <c r="B904" t="s">
        <v>1010</v>
      </c>
      <c r="C904" t="s">
        <v>1111</v>
      </c>
      <c r="D904" t="s">
        <v>1121</v>
      </c>
      <c r="E904">
        <v>89.36</v>
      </c>
      <c r="F904">
        <v>162678</v>
      </c>
      <c r="G904" t="s">
        <v>1128</v>
      </c>
      <c r="H904" t="s">
        <v>1133</v>
      </c>
    </row>
    <row r="905" spans="1:8" x14ac:dyDescent="0.25">
      <c r="A905" t="s">
        <v>41</v>
      </c>
      <c r="B905" t="s">
        <v>1011</v>
      </c>
      <c r="C905" t="s">
        <v>1108</v>
      </c>
      <c r="D905" t="s">
        <v>1126</v>
      </c>
      <c r="E905">
        <v>37.81</v>
      </c>
      <c r="F905">
        <v>999125</v>
      </c>
      <c r="G905" t="s">
        <v>1130</v>
      </c>
      <c r="H905" t="s">
        <v>1133</v>
      </c>
    </row>
    <row r="906" spans="1:8" x14ac:dyDescent="0.25">
      <c r="A906" t="s">
        <v>83</v>
      </c>
      <c r="B906" t="s">
        <v>1012</v>
      </c>
      <c r="C906" t="s">
        <v>1115</v>
      </c>
      <c r="D906" t="s">
        <v>1119</v>
      </c>
      <c r="E906">
        <v>95.2</v>
      </c>
      <c r="F906">
        <v>199163</v>
      </c>
      <c r="G906" t="s">
        <v>1132</v>
      </c>
      <c r="H906" t="s">
        <v>1133</v>
      </c>
    </row>
    <row r="907" spans="1:8" x14ac:dyDescent="0.25">
      <c r="A907" t="s">
        <v>55</v>
      </c>
      <c r="B907" t="s">
        <v>1013</v>
      </c>
      <c r="C907" t="s">
        <v>1108</v>
      </c>
      <c r="D907" t="s">
        <v>1122</v>
      </c>
      <c r="E907">
        <v>35.56</v>
      </c>
      <c r="F907">
        <v>160726</v>
      </c>
      <c r="G907" t="s">
        <v>1128</v>
      </c>
      <c r="H907" t="s">
        <v>1133</v>
      </c>
    </row>
    <row r="908" spans="1:8" x14ac:dyDescent="0.25">
      <c r="A908" t="s">
        <v>52</v>
      </c>
      <c r="B908" t="s">
        <v>1014</v>
      </c>
      <c r="C908" t="s">
        <v>1117</v>
      </c>
      <c r="D908" t="s">
        <v>1125</v>
      </c>
      <c r="E908">
        <v>71.95</v>
      </c>
      <c r="F908">
        <v>356448</v>
      </c>
      <c r="G908" t="s">
        <v>1131</v>
      </c>
      <c r="H908" t="s">
        <v>1133</v>
      </c>
    </row>
    <row r="909" spans="1:8" x14ac:dyDescent="0.25">
      <c r="A909" t="s">
        <v>30</v>
      </c>
      <c r="B909" t="s">
        <v>1015</v>
      </c>
      <c r="C909" t="s">
        <v>1108</v>
      </c>
      <c r="D909" t="s">
        <v>1121</v>
      </c>
      <c r="E909">
        <v>55.51</v>
      </c>
      <c r="F909">
        <v>201501</v>
      </c>
      <c r="G909" t="s">
        <v>1128</v>
      </c>
      <c r="H909" t="s">
        <v>1133</v>
      </c>
    </row>
    <row r="910" spans="1:8" x14ac:dyDescent="0.25">
      <c r="A910" t="s">
        <v>45</v>
      </c>
      <c r="B910" t="s">
        <v>1016</v>
      </c>
      <c r="C910" t="s">
        <v>1117</v>
      </c>
      <c r="D910" t="s">
        <v>1127</v>
      </c>
      <c r="E910">
        <v>39.479999999999997</v>
      </c>
      <c r="F910">
        <v>316505</v>
      </c>
      <c r="G910" t="s">
        <v>1130</v>
      </c>
      <c r="H910" t="s">
        <v>1134</v>
      </c>
    </row>
    <row r="911" spans="1:8" x14ac:dyDescent="0.25">
      <c r="A911" t="s">
        <v>19</v>
      </c>
      <c r="B911" t="s">
        <v>1017</v>
      </c>
      <c r="C911" t="s">
        <v>1115</v>
      </c>
      <c r="D911" t="s">
        <v>1126</v>
      </c>
      <c r="E911">
        <v>54.03</v>
      </c>
      <c r="F911">
        <v>417073</v>
      </c>
      <c r="G911" t="s">
        <v>1131</v>
      </c>
      <c r="H911" t="s">
        <v>1133</v>
      </c>
    </row>
    <row r="912" spans="1:8" x14ac:dyDescent="0.25">
      <c r="A912" t="s">
        <v>72</v>
      </c>
      <c r="B912" t="s">
        <v>1018</v>
      </c>
      <c r="C912" t="s">
        <v>1114</v>
      </c>
      <c r="D912" t="s">
        <v>1120</v>
      </c>
      <c r="E912">
        <v>82.8</v>
      </c>
      <c r="F912">
        <v>478927</v>
      </c>
      <c r="G912" t="s">
        <v>1128</v>
      </c>
      <c r="H912" t="s">
        <v>1133</v>
      </c>
    </row>
    <row r="913" spans="1:8" x14ac:dyDescent="0.25">
      <c r="A913" t="s">
        <v>104</v>
      </c>
      <c r="B913" t="s">
        <v>1019</v>
      </c>
      <c r="C913" t="s">
        <v>1109</v>
      </c>
      <c r="D913" t="s">
        <v>1120</v>
      </c>
      <c r="E913">
        <v>49.28</v>
      </c>
      <c r="F913">
        <v>919078</v>
      </c>
      <c r="G913" t="s">
        <v>1128</v>
      </c>
      <c r="H913" t="s">
        <v>1134</v>
      </c>
    </row>
    <row r="914" spans="1:8" x14ac:dyDescent="0.25">
      <c r="A914" t="s">
        <v>57</v>
      </c>
      <c r="B914" t="s">
        <v>1020</v>
      </c>
      <c r="C914" t="s">
        <v>1117</v>
      </c>
      <c r="D914" t="s">
        <v>1126</v>
      </c>
      <c r="E914">
        <v>40.869999999999997</v>
      </c>
      <c r="F914">
        <v>774252</v>
      </c>
      <c r="G914" t="s">
        <v>1131</v>
      </c>
      <c r="H914" t="s">
        <v>1134</v>
      </c>
    </row>
    <row r="915" spans="1:8" x14ac:dyDescent="0.25">
      <c r="A915" t="s">
        <v>83</v>
      </c>
      <c r="B915" t="s">
        <v>1021</v>
      </c>
      <c r="C915" t="s">
        <v>1108</v>
      </c>
      <c r="D915" t="s">
        <v>1122</v>
      </c>
      <c r="E915">
        <v>97.28</v>
      </c>
      <c r="F915">
        <v>744973</v>
      </c>
      <c r="G915" t="s">
        <v>1130</v>
      </c>
      <c r="H915" t="s">
        <v>1133</v>
      </c>
    </row>
    <row r="916" spans="1:8" x14ac:dyDescent="0.25">
      <c r="A916" t="s">
        <v>22</v>
      </c>
      <c r="B916" t="s">
        <v>1022</v>
      </c>
      <c r="C916" t="s">
        <v>1116</v>
      </c>
      <c r="D916" t="s">
        <v>1119</v>
      </c>
      <c r="E916">
        <v>94.71</v>
      </c>
      <c r="F916">
        <v>319721</v>
      </c>
      <c r="G916" t="s">
        <v>1131</v>
      </c>
      <c r="H916" t="s">
        <v>1133</v>
      </c>
    </row>
    <row r="917" spans="1:8" x14ac:dyDescent="0.25">
      <c r="A917" t="s">
        <v>17</v>
      </c>
      <c r="B917" t="s">
        <v>1023</v>
      </c>
      <c r="C917" t="s">
        <v>1115</v>
      </c>
      <c r="D917" t="s">
        <v>1120</v>
      </c>
      <c r="E917">
        <v>76.69</v>
      </c>
      <c r="F917">
        <v>274517</v>
      </c>
      <c r="G917" t="s">
        <v>1128</v>
      </c>
      <c r="H917" t="s">
        <v>1133</v>
      </c>
    </row>
    <row r="918" spans="1:8" x14ac:dyDescent="0.25">
      <c r="A918" t="s">
        <v>69</v>
      </c>
      <c r="B918" t="s">
        <v>1024</v>
      </c>
      <c r="C918" t="s">
        <v>1114</v>
      </c>
      <c r="D918" t="s">
        <v>1127</v>
      </c>
      <c r="E918">
        <v>95.56</v>
      </c>
      <c r="F918">
        <v>233958</v>
      </c>
      <c r="G918" t="s">
        <v>1130</v>
      </c>
      <c r="H918" t="s">
        <v>1134</v>
      </c>
    </row>
    <row r="919" spans="1:8" x14ac:dyDescent="0.25">
      <c r="A919" t="s">
        <v>91</v>
      </c>
      <c r="B919" t="s">
        <v>1025</v>
      </c>
      <c r="C919" t="s">
        <v>1111</v>
      </c>
      <c r="D919" t="s">
        <v>1123</v>
      </c>
      <c r="E919">
        <v>78.75</v>
      </c>
      <c r="F919">
        <v>670478</v>
      </c>
      <c r="G919" t="s">
        <v>1128</v>
      </c>
      <c r="H919" t="s">
        <v>1133</v>
      </c>
    </row>
    <row r="920" spans="1:8" x14ac:dyDescent="0.25">
      <c r="A920" t="s">
        <v>99</v>
      </c>
      <c r="B920" t="s">
        <v>1026</v>
      </c>
      <c r="C920" t="s">
        <v>1110</v>
      </c>
      <c r="D920" t="s">
        <v>1118</v>
      </c>
      <c r="E920">
        <v>63.21</v>
      </c>
      <c r="F920">
        <v>840105</v>
      </c>
      <c r="G920" t="s">
        <v>1129</v>
      </c>
      <c r="H920" t="s">
        <v>1133</v>
      </c>
    </row>
    <row r="921" spans="1:8" x14ac:dyDescent="0.25">
      <c r="A921" t="s">
        <v>101</v>
      </c>
      <c r="B921" t="s">
        <v>1027</v>
      </c>
      <c r="C921" t="s">
        <v>1116</v>
      </c>
      <c r="D921" t="s">
        <v>1118</v>
      </c>
      <c r="E921">
        <v>97.23</v>
      </c>
      <c r="F921">
        <v>123599</v>
      </c>
      <c r="G921" t="s">
        <v>1129</v>
      </c>
      <c r="H921" t="s">
        <v>1133</v>
      </c>
    </row>
    <row r="922" spans="1:8" x14ac:dyDescent="0.25">
      <c r="A922" t="s">
        <v>87</v>
      </c>
      <c r="B922" t="s">
        <v>1028</v>
      </c>
      <c r="C922" t="s">
        <v>1116</v>
      </c>
      <c r="D922" t="s">
        <v>1119</v>
      </c>
      <c r="E922">
        <v>44.78</v>
      </c>
      <c r="F922">
        <v>579390</v>
      </c>
      <c r="G922" t="s">
        <v>1132</v>
      </c>
      <c r="H922" t="s">
        <v>1133</v>
      </c>
    </row>
    <row r="923" spans="1:8" x14ac:dyDescent="0.25">
      <c r="A923" t="s">
        <v>64</v>
      </c>
      <c r="B923" t="s">
        <v>1029</v>
      </c>
      <c r="C923" t="s">
        <v>1114</v>
      </c>
      <c r="D923" t="s">
        <v>1119</v>
      </c>
      <c r="E923">
        <v>92.63</v>
      </c>
      <c r="F923">
        <v>170965</v>
      </c>
      <c r="G923" t="s">
        <v>1130</v>
      </c>
      <c r="H923" t="s">
        <v>1133</v>
      </c>
    </row>
    <row r="924" spans="1:8" x14ac:dyDescent="0.25">
      <c r="A924" t="s">
        <v>71</v>
      </c>
      <c r="B924" t="s">
        <v>1030</v>
      </c>
      <c r="C924" t="s">
        <v>1110</v>
      </c>
      <c r="D924" t="s">
        <v>1125</v>
      </c>
      <c r="E924">
        <v>91.62</v>
      </c>
      <c r="F924">
        <v>520100</v>
      </c>
      <c r="G924" t="s">
        <v>1130</v>
      </c>
      <c r="H924" t="s">
        <v>1133</v>
      </c>
    </row>
    <row r="925" spans="1:8" x14ac:dyDescent="0.25">
      <c r="A925" t="s">
        <v>106</v>
      </c>
      <c r="B925" t="s">
        <v>1031</v>
      </c>
      <c r="C925" t="s">
        <v>1111</v>
      </c>
      <c r="D925" t="s">
        <v>1122</v>
      </c>
      <c r="E925">
        <v>96.07</v>
      </c>
      <c r="F925">
        <v>669979</v>
      </c>
      <c r="G925" t="s">
        <v>1132</v>
      </c>
      <c r="H925" t="s">
        <v>1133</v>
      </c>
    </row>
    <row r="926" spans="1:8" x14ac:dyDescent="0.25">
      <c r="A926" t="s">
        <v>101</v>
      </c>
      <c r="B926" t="s">
        <v>1032</v>
      </c>
      <c r="C926" t="s">
        <v>1110</v>
      </c>
      <c r="D926" t="s">
        <v>1125</v>
      </c>
      <c r="E926">
        <v>91.54</v>
      </c>
      <c r="F926">
        <v>472670</v>
      </c>
      <c r="G926" t="s">
        <v>1128</v>
      </c>
      <c r="H926" t="s">
        <v>1133</v>
      </c>
    </row>
    <row r="927" spans="1:8" x14ac:dyDescent="0.25">
      <c r="A927" t="s">
        <v>62</v>
      </c>
      <c r="B927" t="s">
        <v>1033</v>
      </c>
      <c r="C927" t="s">
        <v>1111</v>
      </c>
      <c r="D927" t="s">
        <v>1119</v>
      </c>
      <c r="E927">
        <v>62.31</v>
      </c>
      <c r="F927">
        <v>742485</v>
      </c>
      <c r="G927" t="s">
        <v>1131</v>
      </c>
      <c r="H927" t="s">
        <v>1133</v>
      </c>
    </row>
    <row r="928" spans="1:8" x14ac:dyDescent="0.25">
      <c r="A928" t="s">
        <v>17</v>
      </c>
      <c r="B928" t="s">
        <v>1034</v>
      </c>
      <c r="C928" t="s">
        <v>1112</v>
      </c>
      <c r="D928" t="s">
        <v>1122</v>
      </c>
      <c r="E928">
        <v>40.590000000000003</v>
      </c>
      <c r="F928">
        <v>289954</v>
      </c>
      <c r="G928" t="s">
        <v>1128</v>
      </c>
      <c r="H928" t="s">
        <v>1134</v>
      </c>
    </row>
    <row r="929" spans="1:8" x14ac:dyDescent="0.25">
      <c r="A929" t="s">
        <v>28</v>
      </c>
      <c r="B929" t="s">
        <v>1035</v>
      </c>
      <c r="C929" t="s">
        <v>1110</v>
      </c>
      <c r="D929" t="s">
        <v>1127</v>
      </c>
      <c r="E929">
        <v>87.22</v>
      </c>
      <c r="F929">
        <v>576983</v>
      </c>
      <c r="G929" t="s">
        <v>1129</v>
      </c>
      <c r="H929" t="s">
        <v>1133</v>
      </c>
    </row>
    <row r="930" spans="1:8" x14ac:dyDescent="0.25">
      <c r="A930" t="s">
        <v>33</v>
      </c>
      <c r="B930" t="s">
        <v>1036</v>
      </c>
      <c r="C930" t="s">
        <v>1117</v>
      </c>
      <c r="D930" t="s">
        <v>1118</v>
      </c>
      <c r="E930">
        <v>58.43</v>
      </c>
      <c r="F930">
        <v>638557</v>
      </c>
      <c r="G930" t="s">
        <v>1128</v>
      </c>
      <c r="H930" t="s">
        <v>1134</v>
      </c>
    </row>
    <row r="931" spans="1:8" x14ac:dyDescent="0.25">
      <c r="A931" t="s">
        <v>89</v>
      </c>
      <c r="B931" t="s">
        <v>1037</v>
      </c>
      <c r="C931" t="s">
        <v>1112</v>
      </c>
      <c r="D931" t="s">
        <v>1123</v>
      </c>
      <c r="E931">
        <v>59.24</v>
      </c>
      <c r="F931">
        <v>663350</v>
      </c>
      <c r="G931" t="s">
        <v>1131</v>
      </c>
      <c r="H931" t="s">
        <v>1134</v>
      </c>
    </row>
    <row r="932" spans="1:8" x14ac:dyDescent="0.25">
      <c r="A932" t="s">
        <v>90</v>
      </c>
      <c r="B932" t="s">
        <v>1038</v>
      </c>
      <c r="C932" t="s">
        <v>1112</v>
      </c>
      <c r="D932" t="s">
        <v>1124</v>
      </c>
      <c r="E932">
        <v>82.94</v>
      </c>
      <c r="F932">
        <v>982713</v>
      </c>
      <c r="G932" t="s">
        <v>1132</v>
      </c>
      <c r="H932" t="s">
        <v>1133</v>
      </c>
    </row>
    <row r="933" spans="1:8" x14ac:dyDescent="0.25">
      <c r="A933" t="s">
        <v>43</v>
      </c>
      <c r="B933" t="s">
        <v>1039</v>
      </c>
      <c r="C933" t="s">
        <v>1108</v>
      </c>
      <c r="D933" t="s">
        <v>1120</v>
      </c>
      <c r="E933">
        <v>68.31</v>
      </c>
      <c r="F933">
        <v>935316</v>
      </c>
      <c r="G933" t="s">
        <v>1132</v>
      </c>
      <c r="H933" t="s">
        <v>1133</v>
      </c>
    </row>
    <row r="934" spans="1:8" x14ac:dyDescent="0.25">
      <c r="A934" t="s">
        <v>39</v>
      </c>
      <c r="B934" t="s">
        <v>1040</v>
      </c>
      <c r="C934" t="s">
        <v>1108</v>
      </c>
      <c r="D934" t="s">
        <v>1127</v>
      </c>
      <c r="E934">
        <v>77.36</v>
      </c>
      <c r="F934">
        <v>715476</v>
      </c>
      <c r="G934" t="s">
        <v>1128</v>
      </c>
      <c r="H934" t="s">
        <v>1133</v>
      </c>
    </row>
    <row r="935" spans="1:8" x14ac:dyDescent="0.25">
      <c r="A935" t="s">
        <v>10</v>
      </c>
      <c r="B935" t="s">
        <v>1041</v>
      </c>
      <c r="C935" t="s">
        <v>1114</v>
      </c>
      <c r="D935" t="s">
        <v>1124</v>
      </c>
      <c r="E935">
        <v>96.6</v>
      </c>
      <c r="F935">
        <v>387724</v>
      </c>
      <c r="G935" t="s">
        <v>1131</v>
      </c>
      <c r="H935" t="s">
        <v>1134</v>
      </c>
    </row>
    <row r="936" spans="1:8" x14ac:dyDescent="0.25">
      <c r="A936" t="s">
        <v>63</v>
      </c>
      <c r="B936" t="s">
        <v>1042</v>
      </c>
      <c r="C936" t="s">
        <v>1116</v>
      </c>
      <c r="D936" t="s">
        <v>1123</v>
      </c>
      <c r="E936">
        <v>97.53</v>
      </c>
      <c r="F936">
        <v>188883</v>
      </c>
      <c r="G936" t="s">
        <v>1131</v>
      </c>
      <c r="H936" t="s">
        <v>1133</v>
      </c>
    </row>
    <row r="937" spans="1:8" x14ac:dyDescent="0.25">
      <c r="A937" t="s">
        <v>102</v>
      </c>
      <c r="B937" t="s">
        <v>1043</v>
      </c>
      <c r="C937" t="s">
        <v>1115</v>
      </c>
      <c r="D937" t="s">
        <v>1126</v>
      </c>
      <c r="E937">
        <v>59.88</v>
      </c>
      <c r="F937">
        <v>937322</v>
      </c>
      <c r="G937" t="s">
        <v>1129</v>
      </c>
      <c r="H937" t="s">
        <v>1133</v>
      </c>
    </row>
    <row r="938" spans="1:8" x14ac:dyDescent="0.25">
      <c r="A938" t="s">
        <v>29</v>
      </c>
      <c r="B938" t="s">
        <v>1044</v>
      </c>
      <c r="C938" t="s">
        <v>1108</v>
      </c>
      <c r="D938" t="s">
        <v>1120</v>
      </c>
      <c r="E938">
        <v>78.739999999999995</v>
      </c>
      <c r="F938">
        <v>815077</v>
      </c>
      <c r="G938" t="s">
        <v>1131</v>
      </c>
      <c r="H938" t="s">
        <v>1133</v>
      </c>
    </row>
    <row r="939" spans="1:8" x14ac:dyDescent="0.25">
      <c r="A939" t="s">
        <v>89</v>
      </c>
      <c r="B939" t="s">
        <v>1045</v>
      </c>
      <c r="C939" t="s">
        <v>1109</v>
      </c>
      <c r="D939" t="s">
        <v>1126</v>
      </c>
      <c r="E939">
        <v>61.79</v>
      </c>
      <c r="F939">
        <v>147070</v>
      </c>
      <c r="G939" t="s">
        <v>1128</v>
      </c>
      <c r="H939" t="s">
        <v>1133</v>
      </c>
    </row>
    <row r="940" spans="1:8" x14ac:dyDescent="0.25">
      <c r="A940" t="s">
        <v>21</v>
      </c>
      <c r="B940" t="s">
        <v>1046</v>
      </c>
      <c r="C940" t="s">
        <v>1114</v>
      </c>
      <c r="D940" t="s">
        <v>1124</v>
      </c>
      <c r="E940">
        <v>47.42</v>
      </c>
      <c r="F940">
        <v>972815</v>
      </c>
      <c r="G940" t="s">
        <v>1132</v>
      </c>
      <c r="H940" t="s">
        <v>1133</v>
      </c>
    </row>
    <row r="941" spans="1:8" x14ac:dyDescent="0.25">
      <c r="A941" t="s">
        <v>92</v>
      </c>
      <c r="B941" t="s">
        <v>1047</v>
      </c>
      <c r="C941" t="s">
        <v>1109</v>
      </c>
      <c r="D941" t="s">
        <v>1118</v>
      </c>
      <c r="E941">
        <v>50.81</v>
      </c>
      <c r="F941">
        <v>996575</v>
      </c>
      <c r="G941" t="s">
        <v>1129</v>
      </c>
      <c r="H941" t="s">
        <v>1133</v>
      </c>
    </row>
    <row r="942" spans="1:8" x14ac:dyDescent="0.25">
      <c r="A942" t="s">
        <v>103</v>
      </c>
      <c r="B942" t="s">
        <v>1048</v>
      </c>
      <c r="C942" t="s">
        <v>1114</v>
      </c>
      <c r="D942" t="s">
        <v>1125</v>
      </c>
      <c r="E942">
        <v>38.770000000000003</v>
      </c>
      <c r="F942">
        <v>156864</v>
      </c>
      <c r="G942" t="s">
        <v>1129</v>
      </c>
      <c r="H942" t="s">
        <v>1134</v>
      </c>
    </row>
    <row r="943" spans="1:8" x14ac:dyDescent="0.25">
      <c r="A943" t="s">
        <v>95</v>
      </c>
      <c r="B943" t="s">
        <v>1049</v>
      </c>
      <c r="C943" t="s">
        <v>1112</v>
      </c>
      <c r="D943" t="s">
        <v>1124</v>
      </c>
      <c r="E943">
        <v>88.84</v>
      </c>
      <c r="F943">
        <v>616643</v>
      </c>
      <c r="G943" t="s">
        <v>1129</v>
      </c>
      <c r="H943" t="s">
        <v>1133</v>
      </c>
    </row>
    <row r="944" spans="1:8" x14ac:dyDescent="0.25">
      <c r="A944" t="s">
        <v>44</v>
      </c>
      <c r="B944" t="s">
        <v>1050</v>
      </c>
      <c r="C944" t="s">
        <v>1117</v>
      </c>
      <c r="D944" t="s">
        <v>1119</v>
      </c>
      <c r="E944">
        <v>90.82</v>
      </c>
      <c r="F944">
        <v>498427</v>
      </c>
      <c r="G944" t="s">
        <v>1131</v>
      </c>
      <c r="H944" t="s">
        <v>1133</v>
      </c>
    </row>
    <row r="945" spans="1:8" x14ac:dyDescent="0.25">
      <c r="A945" t="s">
        <v>40</v>
      </c>
      <c r="B945" t="s">
        <v>1051</v>
      </c>
      <c r="C945" t="s">
        <v>1109</v>
      </c>
      <c r="D945" t="s">
        <v>1119</v>
      </c>
      <c r="E945">
        <v>76.11</v>
      </c>
      <c r="F945">
        <v>691217</v>
      </c>
      <c r="G945" t="s">
        <v>1132</v>
      </c>
      <c r="H945" t="s">
        <v>1133</v>
      </c>
    </row>
    <row r="946" spans="1:8" x14ac:dyDescent="0.25">
      <c r="A946" t="s">
        <v>40</v>
      </c>
      <c r="B946" t="s">
        <v>1052</v>
      </c>
      <c r="C946" t="s">
        <v>1115</v>
      </c>
      <c r="D946" t="s">
        <v>1127</v>
      </c>
      <c r="E946">
        <v>40.549999999999997</v>
      </c>
      <c r="F946">
        <v>902056</v>
      </c>
      <c r="G946" t="s">
        <v>1129</v>
      </c>
      <c r="H946" t="s">
        <v>1133</v>
      </c>
    </row>
    <row r="947" spans="1:8" x14ac:dyDescent="0.25">
      <c r="A947" t="s">
        <v>48</v>
      </c>
      <c r="B947" t="s">
        <v>1053</v>
      </c>
      <c r="C947" t="s">
        <v>1116</v>
      </c>
      <c r="D947" t="s">
        <v>1121</v>
      </c>
      <c r="E947">
        <v>58.7</v>
      </c>
      <c r="F947">
        <v>401635</v>
      </c>
      <c r="G947" t="s">
        <v>1128</v>
      </c>
      <c r="H947" t="s">
        <v>1134</v>
      </c>
    </row>
    <row r="948" spans="1:8" x14ac:dyDescent="0.25">
      <c r="A948" t="s">
        <v>71</v>
      </c>
      <c r="B948" t="s">
        <v>1054</v>
      </c>
      <c r="C948" t="s">
        <v>1108</v>
      </c>
      <c r="D948" t="s">
        <v>1127</v>
      </c>
      <c r="E948">
        <v>58.19</v>
      </c>
      <c r="F948">
        <v>254603</v>
      </c>
      <c r="G948" t="s">
        <v>1132</v>
      </c>
      <c r="H948" t="s">
        <v>1134</v>
      </c>
    </row>
    <row r="949" spans="1:8" x14ac:dyDescent="0.25">
      <c r="A949" t="s">
        <v>24</v>
      </c>
      <c r="B949" t="s">
        <v>1055</v>
      </c>
      <c r="C949" t="s">
        <v>1115</v>
      </c>
      <c r="D949" t="s">
        <v>1122</v>
      </c>
      <c r="E949">
        <v>89.83</v>
      </c>
      <c r="F949">
        <v>876260</v>
      </c>
      <c r="G949" t="s">
        <v>1132</v>
      </c>
      <c r="H949" t="s">
        <v>1133</v>
      </c>
    </row>
    <row r="950" spans="1:8" x14ac:dyDescent="0.25">
      <c r="A950" t="s">
        <v>94</v>
      </c>
      <c r="B950" t="s">
        <v>1056</v>
      </c>
      <c r="C950" t="s">
        <v>1114</v>
      </c>
      <c r="D950" t="s">
        <v>1118</v>
      </c>
      <c r="E950">
        <v>92.91</v>
      </c>
      <c r="F950">
        <v>980663</v>
      </c>
      <c r="G950" t="s">
        <v>1130</v>
      </c>
      <c r="H950" t="s">
        <v>1133</v>
      </c>
    </row>
    <row r="951" spans="1:8" x14ac:dyDescent="0.25">
      <c r="A951" t="s">
        <v>29</v>
      </c>
      <c r="B951" t="s">
        <v>1057</v>
      </c>
      <c r="C951" t="s">
        <v>1116</v>
      </c>
      <c r="D951" t="s">
        <v>1119</v>
      </c>
      <c r="E951">
        <v>43.31</v>
      </c>
      <c r="F951">
        <v>863570</v>
      </c>
      <c r="G951" t="s">
        <v>1132</v>
      </c>
      <c r="H951" t="s">
        <v>1133</v>
      </c>
    </row>
    <row r="952" spans="1:8" x14ac:dyDescent="0.25">
      <c r="A952" t="s">
        <v>82</v>
      </c>
      <c r="B952" t="s">
        <v>1058</v>
      </c>
      <c r="C952" t="s">
        <v>1112</v>
      </c>
      <c r="D952" t="s">
        <v>1127</v>
      </c>
      <c r="E952">
        <v>71.650000000000006</v>
      </c>
      <c r="F952">
        <v>345281</v>
      </c>
      <c r="G952" t="s">
        <v>1132</v>
      </c>
      <c r="H952" t="s">
        <v>1133</v>
      </c>
    </row>
    <row r="953" spans="1:8" x14ac:dyDescent="0.25">
      <c r="A953" t="s">
        <v>23</v>
      </c>
      <c r="B953" t="s">
        <v>1059</v>
      </c>
      <c r="C953" t="s">
        <v>1115</v>
      </c>
      <c r="D953" t="s">
        <v>1124</v>
      </c>
      <c r="E953">
        <v>59.64</v>
      </c>
      <c r="F953">
        <v>727743</v>
      </c>
      <c r="G953" t="s">
        <v>1129</v>
      </c>
      <c r="H953" t="s">
        <v>1134</v>
      </c>
    </row>
    <row r="954" spans="1:8" x14ac:dyDescent="0.25">
      <c r="A954" t="s">
        <v>59</v>
      </c>
      <c r="B954" t="s">
        <v>1060</v>
      </c>
      <c r="C954" t="s">
        <v>1108</v>
      </c>
      <c r="D954" t="s">
        <v>1121</v>
      </c>
      <c r="E954">
        <v>48.62</v>
      </c>
      <c r="F954">
        <v>462702</v>
      </c>
      <c r="G954" t="s">
        <v>1128</v>
      </c>
      <c r="H954" t="s">
        <v>1134</v>
      </c>
    </row>
    <row r="955" spans="1:8" x14ac:dyDescent="0.25">
      <c r="A955" t="s">
        <v>12</v>
      </c>
      <c r="B955" t="s">
        <v>1061</v>
      </c>
      <c r="C955" t="s">
        <v>1108</v>
      </c>
      <c r="D955" t="s">
        <v>1121</v>
      </c>
      <c r="E955">
        <v>45.51</v>
      </c>
      <c r="F955">
        <v>690183</v>
      </c>
      <c r="G955" t="s">
        <v>1132</v>
      </c>
      <c r="H955" t="s">
        <v>1133</v>
      </c>
    </row>
    <row r="956" spans="1:8" x14ac:dyDescent="0.25">
      <c r="A956" t="s">
        <v>76</v>
      </c>
      <c r="B956" t="s">
        <v>1062</v>
      </c>
      <c r="C956" t="s">
        <v>1117</v>
      </c>
      <c r="D956" t="s">
        <v>1121</v>
      </c>
      <c r="E956">
        <v>74.760000000000005</v>
      </c>
      <c r="F956">
        <v>595930</v>
      </c>
      <c r="G956" t="s">
        <v>1131</v>
      </c>
      <c r="H956" t="s">
        <v>1134</v>
      </c>
    </row>
    <row r="957" spans="1:8" x14ac:dyDescent="0.25">
      <c r="A957" t="s">
        <v>37</v>
      </c>
      <c r="B957" t="s">
        <v>1063</v>
      </c>
      <c r="C957" t="s">
        <v>1115</v>
      </c>
      <c r="D957" t="s">
        <v>1124</v>
      </c>
      <c r="E957">
        <v>44.08</v>
      </c>
      <c r="F957">
        <v>790849</v>
      </c>
      <c r="G957" t="s">
        <v>1131</v>
      </c>
      <c r="H957" t="s">
        <v>1133</v>
      </c>
    </row>
    <row r="958" spans="1:8" x14ac:dyDescent="0.25">
      <c r="A958" t="s">
        <v>44</v>
      </c>
      <c r="B958" t="s">
        <v>1064</v>
      </c>
      <c r="C958" t="s">
        <v>1109</v>
      </c>
      <c r="D958" t="s">
        <v>1124</v>
      </c>
      <c r="E958">
        <v>42.29</v>
      </c>
      <c r="F958">
        <v>173594</v>
      </c>
      <c r="G958" t="s">
        <v>1129</v>
      </c>
      <c r="H958" t="s">
        <v>1133</v>
      </c>
    </row>
    <row r="959" spans="1:8" x14ac:dyDescent="0.25">
      <c r="A959" t="s">
        <v>94</v>
      </c>
      <c r="B959" t="s">
        <v>1065</v>
      </c>
      <c r="C959" t="s">
        <v>1112</v>
      </c>
      <c r="D959" t="s">
        <v>1121</v>
      </c>
      <c r="E959">
        <v>81.42</v>
      </c>
      <c r="F959">
        <v>671538</v>
      </c>
      <c r="G959" t="s">
        <v>1129</v>
      </c>
      <c r="H959" t="s">
        <v>1133</v>
      </c>
    </row>
    <row r="960" spans="1:8" x14ac:dyDescent="0.25">
      <c r="A960" t="s">
        <v>37</v>
      </c>
      <c r="B960" t="s">
        <v>1066</v>
      </c>
      <c r="C960" t="s">
        <v>1116</v>
      </c>
      <c r="D960" t="s">
        <v>1121</v>
      </c>
      <c r="E960">
        <v>54.62</v>
      </c>
      <c r="F960">
        <v>589673</v>
      </c>
      <c r="G960" t="s">
        <v>1128</v>
      </c>
      <c r="H960" t="s">
        <v>1133</v>
      </c>
    </row>
    <row r="961" spans="1:8" x14ac:dyDescent="0.25">
      <c r="A961" t="s">
        <v>30</v>
      </c>
      <c r="B961" t="s">
        <v>1067</v>
      </c>
      <c r="C961" t="s">
        <v>1109</v>
      </c>
      <c r="D961" t="s">
        <v>1118</v>
      </c>
      <c r="E961">
        <v>81.41</v>
      </c>
      <c r="F961">
        <v>284052</v>
      </c>
      <c r="G961" t="s">
        <v>1132</v>
      </c>
      <c r="H961" t="s">
        <v>1134</v>
      </c>
    </row>
    <row r="962" spans="1:8" x14ac:dyDescent="0.25">
      <c r="A962" t="s">
        <v>30</v>
      </c>
      <c r="B962" t="s">
        <v>1068</v>
      </c>
      <c r="C962" t="s">
        <v>1115</v>
      </c>
      <c r="D962" t="s">
        <v>1127</v>
      </c>
      <c r="E962">
        <v>65.38</v>
      </c>
      <c r="F962">
        <v>410664</v>
      </c>
      <c r="G962" t="s">
        <v>1132</v>
      </c>
      <c r="H962" t="s">
        <v>1133</v>
      </c>
    </row>
    <row r="963" spans="1:8" x14ac:dyDescent="0.25">
      <c r="A963" t="s">
        <v>42</v>
      </c>
      <c r="B963" t="s">
        <v>1069</v>
      </c>
      <c r="C963" t="s">
        <v>1108</v>
      </c>
      <c r="D963" t="s">
        <v>1124</v>
      </c>
      <c r="E963">
        <v>93.12</v>
      </c>
      <c r="F963">
        <v>285724</v>
      </c>
      <c r="G963" t="s">
        <v>1132</v>
      </c>
      <c r="H963" t="s">
        <v>1133</v>
      </c>
    </row>
    <row r="964" spans="1:8" x14ac:dyDescent="0.25">
      <c r="A964" t="s">
        <v>37</v>
      </c>
      <c r="B964" t="s">
        <v>1070</v>
      </c>
      <c r="C964" t="s">
        <v>1113</v>
      </c>
      <c r="D964" t="s">
        <v>1122</v>
      </c>
      <c r="E964">
        <v>63.08</v>
      </c>
      <c r="F964">
        <v>473192</v>
      </c>
      <c r="G964" t="s">
        <v>1128</v>
      </c>
      <c r="H964" t="s">
        <v>1134</v>
      </c>
    </row>
    <row r="965" spans="1:8" x14ac:dyDescent="0.25">
      <c r="A965" t="s">
        <v>65</v>
      </c>
      <c r="B965" t="s">
        <v>1071</v>
      </c>
      <c r="C965" t="s">
        <v>1109</v>
      </c>
      <c r="D965" t="s">
        <v>1124</v>
      </c>
      <c r="E965">
        <v>45.29</v>
      </c>
      <c r="F965">
        <v>441462</v>
      </c>
      <c r="G965" t="s">
        <v>1128</v>
      </c>
      <c r="H965" t="s">
        <v>1133</v>
      </c>
    </row>
    <row r="966" spans="1:8" x14ac:dyDescent="0.25">
      <c r="A966" t="s">
        <v>99</v>
      </c>
      <c r="B966" t="s">
        <v>1072</v>
      </c>
      <c r="C966" t="s">
        <v>1110</v>
      </c>
      <c r="D966" t="s">
        <v>1124</v>
      </c>
      <c r="E966">
        <v>83.15</v>
      </c>
      <c r="F966">
        <v>365110</v>
      </c>
      <c r="G966" t="s">
        <v>1129</v>
      </c>
      <c r="H966" t="s">
        <v>1133</v>
      </c>
    </row>
    <row r="967" spans="1:8" x14ac:dyDescent="0.25">
      <c r="A967" t="s">
        <v>105</v>
      </c>
      <c r="B967" t="s">
        <v>1073</v>
      </c>
      <c r="C967" t="s">
        <v>1109</v>
      </c>
      <c r="D967" t="s">
        <v>1124</v>
      </c>
      <c r="E967">
        <v>60.97</v>
      </c>
      <c r="F967">
        <v>452101</v>
      </c>
      <c r="G967" t="s">
        <v>1129</v>
      </c>
      <c r="H967" t="s">
        <v>1133</v>
      </c>
    </row>
    <row r="968" spans="1:8" x14ac:dyDescent="0.25">
      <c r="A968" t="s">
        <v>67</v>
      </c>
      <c r="B968" t="s">
        <v>1074</v>
      </c>
      <c r="C968" t="s">
        <v>1109</v>
      </c>
      <c r="D968" t="s">
        <v>1120</v>
      </c>
      <c r="E968">
        <v>83.92</v>
      </c>
      <c r="F968">
        <v>437870</v>
      </c>
      <c r="G968" t="s">
        <v>1131</v>
      </c>
      <c r="H968" t="s">
        <v>1133</v>
      </c>
    </row>
    <row r="969" spans="1:8" x14ac:dyDescent="0.25">
      <c r="A969" t="s">
        <v>82</v>
      </c>
      <c r="B969" t="s">
        <v>1075</v>
      </c>
      <c r="C969" t="s">
        <v>1108</v>
      </c>
      <c r="D969" t="s">
        <v>1122</v>
      </c>
      <c r="E969">
        <v>67.959999999999994</v>
      </c>
      <c r="F969">
        <v>394451</v>
      </c>
      <c r="G969" t="s">
        <v>1131</v>
      </c>
      <c r="H969" t="s">
        <v>1133</v>
      </c>
    </row>
    <row r="970" spans="1:8" x14ac:dyDescent="0.25">
      <c r="A970" t="s">
        <v>34</v>
      </c>
      <c r="B970" t="s">
        <v>1076</v>
      </c>
      <c r="C970" t="s">
        <v>1116</v>
      </c>
      <c r="D970" t="s">
        <v>1123</v>
      </c>
      <c r="E970">
        <v>56.53</v>
      </c>
      <c r="F970">
        <v>832017</v>
      </c>
      <c r="G970" t="s">
        <v>1128</v>
      </c>
      <c r="H970" t="s">
        <v>1133</v>
      </c>
    </row>
    <row r="971" spans="1:8" x14ac:dyDescent="0.25">
      <c r="A971" t="s">
        <v>100</v>
      </c>
      <c r="B971" t="s">
        <v>1077</v>
      </c>
      <c r="C971" t="s">
        <v>1110</v>
      </c>
      <c r="D971" t="s">
        <v>1124</v>
      </c>
      <c r="E971">
        <v>99.46</v>
      </c>
      <c r="F971">
        <v>258195</v>
      </c>
      <c r="G971" t="s">
        <v>1130</v>
      </c>
      <c r="H971" t="s">
        <v>1134</v>
      </c>
    </row>
    <row r="972" spans="1:8" x14ac:dyDescent="0.25">
      <c r="A972" t="s">
        <v>47</v>
      </c>
      <c r="B972" t="s">
        <v>1078</v>
      </c>
      <c r="C972" t="s">
        <v>1108</v>
      </c>
      <c r="D972" t="s">
        <v>1123</v>
      </c>
      <c r="E972">
        <v>62.96</v>
      </c>
      <c r="F972">
        <v>979972</v>
      </c>
      <c r="G972" t="s">
        <v>1128</v>
      </c>
      <c r="H972" t="s">
        <v>1133</v>
      </c>
    </row>
    <row r="973" spans="1:8" x14ac:dyDescent="0.25">
      <c r="A973" t="s">
        <v>24</v>
      </c>
      <c r="B973" t="s">
        <v>1079</v>
      </c>
      <c r="C973" t="s">
        <v>1108</v>
      </c>
      <c r="D973" t="s">
        <v>1119</v>
      </c>
      <c r="E973">
        <v>39.92</v>
      </c>
      <c r="F973">
        <v>973713</v>
      </c>
      <c r="G973" t="s">
        <v>1131</v>
      </c>
      <c r="H973" t="s">
        <v>1134</v>
      </c>
    </row>
    <row r="974" spans="1:8" x14ac:dyDescent="0.25">
      <c r="A974" t="s">
        <v>22</v>
      </c>
      <c r="B974" t="s">
        <v>1080</v>
      </c>
      <c r="C974" t="s">
        <v>1110</v>
      </c>
      <c r="D974" t="s">
        <v>1118</v>
      </c>
      <c r="E974">
        <v>56.88</v>
      </c>
      <c r="F974">
        <v>352622</v>
      </c>
      <c r="G974" t="s">
        <v>1132</v>
      </c>
      <c r="H974" t="s">
        <v>1133</v>
      </c>
    </row>
    <row r="975" spans="1:8" x14ac:dyDescent="0.25">
      <c r="A975" t="s">
        <v>47</v>
      </c>
      <c r="B975" t="s">
        <v>1081</v>
      </c>
      <c r="C975" t="s">
        <v>1109</v>
      </c>
      <c r="D975" t="s">
        <v>1124</v>
      </c>
      <c r="E975">
        <v>99.27</v>
      </c>
      <c r="F975">
        <v>227518</v>
      </c>
      <c r="G975" t="s">
        <v>1130</v>
      </c>
      <c r="H975" t="s">
        <v>1134</v>
      </c>
    </row>
    <row r="976" spans="1:8" x14ac:dyDescent="0.25">
      <c r="A976" t="s">
        <v>50</v>
      </c>
      <c r="B976" t="s">
        <v>1082</v>
      </c>
      <c r="C976" t="s">
        <v>1116</v>
      </c>
      <c r="D976" t="s">
        <v>1127</v>
      </c>
      <c r="E976">
        <v>77.760000000000005</v>
      </c>
      <c r="F976">
        <v>124691</v>
      </c>
      <c r="G976" t="s">
        <v>1131</v>
      </c>
      <c r="H976" t="s">
        <v>1133</v>
      </c>
    </row>
    <row r="977" spans="1:8" x14ac:dyDescent="0.25">
      <c r="A977" t="s">
        <v>88</v>
      </c>
      <c r="B977" t="s">
        <v>1083</v>
      </c>
      <c r="C977" t="s">
        <v>1115</v>
      </c>
      <c r="D977" t="s">
        <v>1121</v>
      </c>
      <c r="E977">
        <v>55.32</v>
      </c>
      <c r="F977">
        <v>575912</v>
      </c>
      <c r="G977" t="s">
        <v>1132</v>
      </c>
      <c r="H977" t="s">
        <v>1134</v>
      </c>
    </row>
    <row r="978" spans="1:8" x14ac:dyDescent="0.25">
      <c r="A978" t="s">
        <v>89</v>
      </c>
      <c r="B978" t="s">
        <v>1084</v>
      </c>
      <c r="C978" t="s">
        <v>1114</v>
      </c>
      <c r="D978" t="s">
        <v>1119</v>
      </c>
      <c r="E978">
        <v>54.84</v>
      </c>
      <c r="F978">
        <v>146420</v>
      </c>
      <c r="G978" t="s">
        <v>1130</v>
      </c>
      <c r="H978" t="s">
        <v>1133</v>
      </c>
    </row>
    <row r="979" spans="1:8" x14ac:dyDescent="0.25">
      <c r="A979" t="s">
        <v>61</v>
      </c>
      <c r="B979" t="s">
        <v>1085</v>
      </c>
      <c r="C979" t="s">
        <v>1115</v>
      </c>
      <c r="D979" t="s">
        <v>1125</v>
      </c>
      <c r="E979">
        <v>79.3</v>
      </c>
      <c r="F979">
        <v>409590</v>
      </c>
      <c r="G979" t="s">
        <v>1132</v>
      </c>
      <c r="H979" t="s">
        <v>1133</v>
      </c>
    </row>
    <row r="980" spans="1:8" x14ac:dyDescent="0.25">
      <c r="A980" t="s">
        <v>25</v>
      </c>
      <c r="B980" t="s">
        <v>1086</v>
      </c>
      <c r="C980" t="s">
        <v>1116</v>
      </c>
      <c r="D980" t="s">
        <v>1126</v>
      </c>
      <c r="E980">
        <v>83.67</v>
      </c>
      <c r="F980">
        <v>620822</v>
      </c>
      <c r="G980" t="s">
        <v>1129</v>
      </c>
      <c r="H980" t="s">
        <v>1134</v>
      </c>
    </row>
    <row r="981" spans="1:8" x14ac:dyDescent="0.25">
      <c r="A981" t="s">
        <v>40</v>
      </c>
      <c r="B981" t="s">
        <v>1087</v>
      </c>
      <c r="C981" t="s">
        <v>1110</v>
      </c>
      <c r="D981" t="s">
        <v>1118</v>
      </c>
      <c r="E981">
        <v>50.52</v>
      </c>
      <c r="F981">
        <v>987067</v>
      </c>
      <c r="G981" t="s">
        <v>1130</v>
      </c>
      <c r="H981" t="s">
        <v>1134</v>
      </c>
    </row>
    <row r="982" spans="1:8" x14ac:dyDescent="0.25">
      <c r="A982" t="s">
        <v>72</v>
      </c>
      <c r="B982" t="s">
        <v>1088</v>
      </c>
      <c r="C982" t="s">
        <v>1110</v>
      </c>
      <c r="D982" t="s">
        <v>1123</v>
      </c>
      <c r="E982">
        <v>98.52</v>
      </c>
      <c r="F982">
        <v>142064</v>
      </c>
      <c r="G982" t="s">
        <v>1129</v>
      </c>
      <c r="H982" t="s">
        <v>1134</v>
      </c>
    </row>
    <row r="983" spans="1:8" x14ac:dyDescent="0.25">
      <c r="A983" t="s">
        <v>71</v>
      </c>
      <c r="B983" t="s">
        <v>1089</v>
      </c>
      <c r="C983" t="s">
        <v>1114</v>
      </c>
      <c r="D983" t="s">
        <v>1121</v>
      </c>
      <c r="E983">
        <v>84.93</v>
      </c>
      <c r="F983">
        <v>160767</v>
      </c>
      <c r="G983" t="s">
        <v>1128</v>
      </c>
      <c r="H983" t="s">
        <v>1133</v>
      </c>
    </row>
    <row r="984" spans="1:8" x14ac:dyDescent="0.25">
      <c r="A984" t="s">
        <v>80</v>
      </c>
      <c r="B984" t="s">
        <v>1090</v>
      </c>
      <c r="C984" t="s">
        <v>1111</v>
      </c>
      <c r="D984" t="s">
        <v>1121</v>
      </c>
      <c r="E984">
        <v>74.290000000000006</v>
      </c>
      <c r="F984">
        <v>345841</v>
      </c>
      <c r="G984" t="s">
        <v>1129</v>
      </c>
      <c r="H984" t="s">
        <v>1133</v>
      </c>
    </row>
    <row r="985" spans="1:8" x14ac:dyDescent="0.25">
      <c r="A985" t="s">
        <v>46</v>
      </c>
      <c r="B985" t="s">
        <v>1091</v>
      </c>
      <c r="C985" t="s">
        <v>1112</v>
      </c>
      <c r="D985" t="s">
        <v>1125</v>
      </c>
      <c r="E985">
        <v>97.41</v>
      </c>
      <c r="F985">
        <v>994998</v>
      </c>
      <c r="G985" t="s">
        <v>1128</v>
      </c>
      <c r="H985" t="s">
        <v>1133</v>
      </c>
    </row>
    <row r="986" spans="1:8" x14ac:dyDescent="0.25">
      <c r="A986" t="s">
        <v>74</v>
      </c>
      <c r="B986" t="s">
        <v>1092</v>
      </c>
      <c r="C986" t="s">
        <v>1109</v>
      </c>
      <c r="D986" t="s">
        <v>1126</v>
      </c>
      <c r="E986">
        <v>65.790000000000006</v>
      </c>
      <c r="F986">
        <v>838918</v>
      </c>
      <c r="G986" t="s">
        <v>1131</v>
      </c>
      <c r="H986" t="s">
        <v>1133</v>
      </c>
    </row>
    <row r="987" spans="1:8" x14ac:dyDescent="0.25">
      <c r="A987" t="s">
        <v>61</v>
      </c>
      <c r="B987" t="s">
        <v>1093</v>
      </c>
      <c r="C987" t="s">
        <v>1114</v>
      </c>
      <c r="D987" t="s">
        <v>1123</v>
      </c>
      <c r="E987">
        <v>90.13</v>
      </c>
      <c r="F987">
        <v>295212</v>
      </c>
      <c r="G987" t="s">
        <v>1130</v>
      </c>
      <c r="H987" t="s">
        <v>1133</v>
      </c>
    </row>
    <row r="988" spans="1:8" x14ac:dyDescent="0.25">
      <c r="A988" t="s">
        <v>70</v>
      </c>
      <c r="B988" t="s">
        <v>1094</v>
      </c>
      <c r="C988" t="s">
        <v>1112</v>
      </c>
      <c r="D988" t="s">
        <v>1120</v>
      </c>
      <c r="E988">
        <v>71.709999999999994</v>
      </c>
      <c r="F988">
        <v>457410</v>
      </c>
      <c r="G988" t="s">
        <v>1130</v>
      </c>
      <c r="H988" t="s">
        <v>1133</v>
      </c>
    </row>
    <row r="989" spans="1:8" x14ac:dyDescent="0.25">
      <c r="A989" t="s">
        <v>57</v>
      </c>
      <c r="B989" t="s">
        <v>1095</v>
      </c>
      <c r="C989" t="s">
        <v>1111</v>
      </c>
      <c r="D989" t="s">
        <v>1121</v>
      </c>
      <c r="E989">
        <v>76.959999999999994</v>
      </c>
      <c r="F989">
        <v>716010</v>
      </c>
      <c r="G989" t="s">
        <v>1130</v>
      </c>
      <c r="H989" t="s">
        <v>1134</v>
      </c>
    </row>
    <row r="990" spans="1:8" x14ac:dyDescent="0.25">
      <c r="A990" t="s">
        <v>106</v>
      </c>
      <c r="B990" t="s">
        <v>1096</v>
      </c>
      <c r="C990" t="s">
        <v>1111</v>
      </c>
      <c r="D990" t="s">
        <v>1124</v>
      </c>
      <c r="E990">
        <v>62.73</v>
      </c>
      <c r="F990">
        <v>489121</v>
      </c>
      <c r="G990" t="s">
        <v>1131</v>
      </c>
      <c r="H990" t="s">
        <v>1134</v>
      </c>
    </row>
    <row r="991" spans="1:8" x14ac:dyDescent="0.25">
      <c r="A991" t="s">
        <v>8</v>
      </c>
      <c r="B991" t="s">
        <v>1097</v>
      </c>
      <c r="C991" t="s">
        <v>1110</v>
      </c>
      <c r="D991" t="s">
        <v>1123</v>
      </c>
      <c r="E991">
        <v>78.010000000000005</v>
      </c>
      <c r="F991">
        <v>436134</v>
      </c>
      <c r="G991" t="s">
        <v>1128</v>
      </c>
      <c r="H991" t="s">
        <v>1133</v>
      </c>
    </row>
    <row r="992" spans="1:8" x14ac:dyDescent="0.25">
      <c r="A992" t="s">
        <v>93</v>
      </c>
      <c r="B992" t="s">
        <v>1098</v>
      </c>
      <c r="C992" t="s">
        <v>1116</v>
      </c>
      <c r="D992" t="s">
        <v>1120</v>
      </c>
      <c r="E992">
        <v>53.2</v>
      </c>
      <c r="F992">
        <v>599407</v>
      </c>
      <c r="G992" t="s">
        <v>1129</v>
      </c>
      <c r="H992" t="s">
        <v>1133</v>
      </c>
    </row>
    <row r="993" spans="1:8" x14ac:dyDescent="0.25">
      <c r="A993" t="s">
        <v>69</v>
      </c>
      <c r="B993" t="s">
        <v>1099</v>
      </c>
      <c r="C993" t="s">
        <v>1109</v>
      </c>
      <c r="D993" t="s">
        <v>1118</v>
      </c>
      <c r="E993">
        <v>41.59</v>
      </c>
      <c r="F993">
        <v>867863</v>
      </c>
      <c r="G993" t="s">
        <v>1130</v>
      </c>
      <c r="H993" t="s">
        <v>1133</v>
      </c>
    </row>
    <row r="994" spans="1:8" x14ac:dyDescent="0.25">
      <c r="A994" t="s">
        <v>78</v>
      </c>
      <c r="B994" t="s">
        <v>1100</v>
      </c>
      <c r="C994" t="s">
        <v>1108</v>
      </c>
      <c r="D994" t="s">
        <v>1124</v>
      </c>
      <c r="E994">
        <v>58.66</v>
      </c>
      <c r="F994">
        <v>888896</v>
      </c>
      <c r="G994" t="s">
        <v>1132</v>
      </c>
      <c r="H994" t="s">
        <v>1133</v>
      </c>
    </row>
    <row r="995" spans="1:8" x14ac:dyDescent="0.25">
      <c r="A995" t="s">
        <v>79</v>
      </c>
      <c r="B995" t="s">
        <v>1101</v>
      </c>
      <c r="C995" t="s">
        <v>1110</v>
      </c>
      <c r="D995" t="s">
        <v>1126</v>
      </c>
      <c r="E995">
        <v>71.819999999999993</v>
      </c>
      <c r="F995">
        <v>470216</v>
      </c>
      <c r="G995" t="s">
        <v>1132</v>
      </c>
      <c r="H995" t="s">
        <v>1133</v>
      </c>
    </row>
    <row r="996" spans="1:8" x14ac:dyDescent="0.25">
      <c r="A996" t="s">
        <v>47</v>
      </c>
      <c r="B996" t="s">
        <v>1102</v>
      </c>
      <c r="C996" t="s">
        <v>1115</v>
      </c>
      <c r="D996" t="s">
        <v>1120</v>
      </c>
      <c r="E996">
        <v>57.55</v>
      </c>
      <c r="F996">
        <v>217470</v>
      </c>
      <c r="G996" t="s">
        <v>1131</v>
      </c>
      <c r="H996" t="s">
        <v>1133</v>
      </c>
    </row>
    <row r="997" spans="1:8" x14ac:dyDescent="0.25">
      <c r="A997" t="s">
        <v>31</v>
      </c>
      <c r="B997" t="s">
        <v>1103</v>
      </c>
      <c r="C997" t="s">
        <v>1110</v>
      </c>
      <c r="D997" t="s">
        <v>1121</v>
      </c>
      <c r="E997">
        <v>45.35</v>
      </c>
      <c r="F997">
        <v>725540</v>
      </c>
      <c r="G997" t="s">
        <v>1130</v>
      </c>
      <c r="H997" t="s">
        <v>1134</v>
      </c>
    </row>
    <row r="998" spans="1:8" x14ac:dyDescent="0.25">
      <c r="A998" t="s">
        <v>73</v>
      </c>
      <c r="B998" t="s">
        <v>1104</v>
      </c>
      <c r="C998" t="s">
        <v>1115</v>
      </c>
      <c r="D998" t="s">
        <v>1127</v>
      </c>
      <c r="E998">
        <v>92.86</v>
      </c>
      <c r="F998">
        <v>399251</v>
      </c>
      <c r="G998" t="s">
        <v>1132</v>
      </c>
      <c r="H998" t="s">
        <v>1133</v>
      </c>
    </row>
    <row r="999" spans="1:8" x14ac:dyDescent="0.25">
      <c r="A999" t="s">
        <v>93</v>
      </c>
      <c r="B999" t="s">
        <v>1105</v>
      </c>
      <c r="C999" t="s">
        <v>1115</v>
      </c>
      <c r="D999" t="s">
        <v>1121</v>
      </c>
      <c r="E999">
        <v>95.95</v>
      </c>
      <c r="F999">
        <v>292881</v>
      </c>
      <c r="G999" t="s">
        <v>1130</v>
      </c>
      <c r="H999" t="s">
        <v>1133</v>
      </c>
    </row>
    <row r="1000" spans="1:8" x14ac:dyDescent="0.25">
      <c r="A1000" t="s">
        <v>9</v>
      </c>
      <c r="B1000" t="s">
        <v>1106</v>
      </c>
      <c r="C1000" t="s">
        <v>1110</v>
      </c>
      <c r="D1000" t="s">
        <v>1125</v>
      </c>
      <c r="E1000">
        <v>77.67</v>
      </c>
      <c r="F1000">
        <v>173906</v>
      </c>
      <c r="G1000" t="s">
        <v>1131</v>
      </c>
      <c r="H1000" t="s">
        <v>1133</v>
      </c>
    </row>
    <row r="1001" spans="1:8" x14ac:dyDescent="0.25">
      <c r="A1001" t="s">
        <v>70</v>
      </c>
      <c r="B1001" t="s">
        <v>1107</v>
      </c>
      <c r="C1001" t="s">
        <v>1110</v>
      </c>
      <c r="D1001" t="s">
        <v>1123</v>
      </c>
      <c r="E1001">
        <v>75.05</v>
      </c>
      <c r="F1001">
        <v>333499</v>
      </c>
      <c r="G1001" t="s">
        <v>1129</v>
      </c>
      <c r="H1001" t="s">
        <v>1133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13B87-AE19-4A96-80D1-B4C24FCA37B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text function</vt:lpstr>
      <vt:lpstr>conditional opration</vt:lpstr>
      <vt:lpstr>logical operators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Dhanshree wandile</cp:lastModifiedBy>
  <dcterms:created xsi:type="dcterms:W3CDTF">2025-11-12T12:56:49Z</dcterms:created>
  <dcterms:modified xsi:type="dcterms:W3CDTF">2025-11-26T04:52:03Z</dcterms:modified>
</cp:coreProperties>
</file>